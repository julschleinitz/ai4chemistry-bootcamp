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bsnconnect.com/personal/ua05643_dow_com/Documents/Documents/3-Library/Courses/Caltech Delivery-bundle/day-2-doe/tutorial/5-facilitator-storefront-and-reveal/"/>
    </mc:Choice>
  </mc:AlternateContent>
  <xr:revisionPtr revIDLastSave="4" documentId="11_B8D749C574E43863A4C1F0BB245D22441AF7C88B" xr6:coauthVersionLast="47" xr6:coauthVersionMax="47" xr10:uidLastSave="{09498C90-F8C4-4FD1-B34E-A0D8E6695F36}"/>
  <bookViews>
    <workbookView xWindow="-110" yWindow="-110" windowWidth="19420" windowHeight="11500" activeTab="1" xr2:uid="{00000000-000D-0000-FFFF-FFFF00000000}"/>
  </bookViews>
  <sheets>
    <sheet name="storefron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1" i="1" l="1"/>
  <c r="M201" i="1"/>
  <c r="L201" i="1"/>
  <c r="K201" i="1" s="1"/>
  <c r="A201" i="1"/>
  <c r="N200" i="1"/>
  <c r="M200" i="1"/>
  <c r="L200" i="1"/>
  <c r="I200" i="1" s="1"/>
  <c r="A200" i="1"/>
  <c r="N199" i="1"/>
  <c r="M199" i="1"/>
  <c r="L199" i="1"/>
  <c r="K199" i="1" s="1"/>
  <c r="A199" i="1"/>
  <c r="N198" i="1"/>
  <c r="M198" i="1"/>
  <c r="L198" i="1"/>
  <c r="K198" i="1" s="1"/>
  <c r="A198" i="1"/>
  <c r="N197" i="1"/>
  <c r="M197" i="1"/>
  <c r="L197" i="1"/>
  <c r="K197" i="1" s="1"/>
  <c r="I197" i="1"/>
  <c r="A197" i="1"/>
  <c r="N196" i="1"/>
  <c r="M196" i="1"/>
  <c r="L196" i="1"/>
  <c r="J196" i="1" s="1"/>
  <c r="K196" i="1"/>
  <c r="I196" i="1"/>
  <c r="A196" i="1"/>
  <c r="N195" i="1"/>
  <c r="M195" i="1"/>
  <c r="L195" i="1"/>
  <c r="J195" i="1" s="1"/>
  <c r="K195" i="1"/>
  <c r="A195" i="1"/>
  <c r="N194" i="1"/>
  <c r="M194" i="1"/>
  <c r="L194" i="1"/>
  <c r="J194" i="1" s="1"/>
  <c r="K194" i="1"/>
  <c r="I194" i="1"/>
  <c r="A194" i="1"/>
  <c r="N193" i="1"/>
  <c r="M193" i="1"/>
  <c r="L193" i="1"/>
  <c r="J193" i="1" s="1"/>
  <c r="A193" i="1"/>
  <c r="N192" i="1"/>
  <c r="M192" i="1"/>
  <c r="L192" i="1"/>
  <c r="J192" i="1" s="1"/>
  <c r="K192" i="1"/>
  <c r="I192" i="1"/>
  <c r="A192" i="1"/>
  <c r="N191" i="1"/>
  <c r="M191" i="1"/>
  <c r="L191" i="1"/>
  <c r="K191" i="1"/>
  <c r="J191" i="1"/>
  <c r="I191" i="1"/>
  <c r="A191" i="1"/>
  <c r="N190" i="1"/>
  <c r="M190" i="1"/>
  <c r="L190" i="1"/>
  <c r="I190" i="1" s="1"/>
  <c r="K190" i="1"/>
  <c r="J190" i="1"/>
  <c r="A190" i="1"/>
  <c r="N189" i="1"/>
  <c r="M189" i="1"/>
  <c r="L189" i="1"/>
  <c r="K189" i="1" s="1"/>
  <c r="J189" i="1"/>
  <c r="A189" i="1"/>
  <c r="N188" i="1"/>
  <c r="M188" i="1"/>
  <c r="L188" i="1"/>
  <c r="I188" i="1" s="1"/>
  <c r="A188" i="1"/>
  <c r="N187" i="1"/>
  <c r="M187" i="1"/>
  <c r="L187" i="1"/>
  <c r="K187" i="1" s="1"/>
  <c r="A187" i="1"/>
  <c r="N186" i="1"/>
  <c r="M186" i="1"/>
  <c r="L186" i="1"/>
  <c r="K186" i="1" s="1"/>
  <c r="J186" i="1"/>
  <c r="I186" i="1"/>
  <c r="A186" i="1"/>
  <c r="N185" i="1"/>
  <c r="M185" i="1"/>
  <c r="L185" i="1"/>
  <c r="K185" i="1" s="1"/>
  <c r="J185" i="1"/>
  <c r="I185" i="1"/>
  <c r="A185" i="1"/>
  <c r="N184" i="1"/>
  <c r="M184" i="1"/>
  <c r="L184" i="1"/>
  <c r="K184" i="1" s="1"/>
  <c r="I184" i="1"/>
  <c r="A184" i="1"/>
  <c r="N183" i="1"/>
  <c r="M183" i="1"/>
  <c r="L183" i="1"/>
  <c r="K183" i="1" s="1"/>
  <c r="A183" i="1"/>
  <c r="N182" i="1"/>
  <c r="M182" i="1"/>
  <c r="L182" i="1"/>
  <c r="J182" i="1" s="1"/>
  <c r="K182" i="1"/>
  <c r="A182" i="1"/>
  <c r="N181" i="1"/>
  <c r="M181" i="1"/>
  <c r="L181" i="1"/>
  <c r="J181" i="1" s="1"/>
  <c r="I181" i="1"/>
  <c r="A181" i="1"/>
  <c r="N180" i="1"/>
  <c r="M180" i="1"/>
  <c r="L180" i="1"/>
  <c r="K180" i="1"/>
  <c r="J180" i="1"/>
  <c r="I180" i="1"/>
  <c r="A180" i="1"/>
  <c r="N179" i="1"/>
  <c r="M179" i="1"/>
  <c r="L179" i="1"/>
  <c r="K179" i="1"/>
  <c r="J179" i="1"/>
  <c r="I179" i="1"/>
  <c r="A179" i="1"/>
  <c r="N178" i="1"/>
  <c r="M178" i="1"/>
  <c r="L178" i="1"/>
  <c r="I178" i="1" s="1"/>
  <c r="K178" i="1"/>
  <c r="J178" i="1"/>
  <c r="A178" i="1"/>
  <c r="N177" i="1"/>
  <c r="M177" i="1"/>
  <c r="L177" i="1"/>
  <c r="K177" i="1" s="1"/>
  <c r="J177" i="1"/>
  <c r="A177" i="1"/>
  <c r="N176" i="1"/>
  <c r="M176" i="1"/>
  <c r="L176" i="1"/>
  <c r="I176" i="1" s="1"/>
  <c r="A176" i="1"/>
  <c r="N175" i="1"/>
  <c r="M175" i="1"/>
  <c r="L175" i="1"/>
  <c r="K175" i="1" s="1"/>
  <c r="A175" i="1"/>
  <c r="N174" i="1"/>
  <c r="M174" i="1"/>
  <c r="L174" i="1"/>
  <c r="K174" i="1" s="1"/>
  <c r="J174" i="1"/>
  <c r="I174" i="1"/>
  <c r="A174" i="1"/>
  <c r="N173" i="1"/>
  <c r="M173" i="1"/>
  <c r="L173" i="1"/>
  <c r="K173" i="1"/>
  <c r="J173" i="1"/>
  <c r="I173" i="1"/>
  <c r="A173" i="1"/>
  <c r="N172" i="1"/>
  <c r="M172" i="1"/>
  <c r="L172" i="1"/>
  <c r="K172" i="1" s="1"/>
  <c r="I172" i="1"/>
  <c r="A172" i="1"/>
  <c r="N171" i="1"/>
  <c r="M171" i="1"/>
  <c r="L171" i="1"/>
  <c r="K171" i="1" s="1"/>
  <c r="A171" i="1"/>
  <c r="N170" i="1"/>
  <c r="M170" i="1"/>
  <c r="L170" i="1"/>
  <c r="J170" i="1" s="1"/>
  <c r="K170" i="1"/>
  <c r="A170" i="1"/>
  <c r="N169" i="1"/>
  <c r="M169" i="1"/>
  <c r="L169" i="1"/>
  <c r="J169" i="1" s="1"/>
  <c r="I169" i="1"/>
  <c r="A169" i="1"/>
  <c r="N168" i="1"/>
  <c r="M168" i="1"/>
  <c r="L168" i="1"/>
  <c r="K168" i="1"/>
  <c r="J168" i="1"/>
  <c r="I168" i="1"/>
  <c r="A168" i="1"/>
  <c r="N167" i="1"/>
  <c r="M167" i="1"/>
  <c r="L167" i="1"/>
  <c r="K167" i="1"/>
  <c r="J167" i="1"/>
  <c r="I167" i="1"/>
  <c r="A167" i="1"/>
  <c r="N166" i="1"/>
  <c r="M166" i="1"/>
  <c r="L166" i="1"/>
  <c r="I166" i="1" s="1"/>
  <c r="K166" i="1"/>
  <c r="J166" i="1"/>
  <c r="A166" i="1"/>
  <c r="N165" i="1"/>
  <c r="M165" i="1"/>
  <c r="L165" i="1"/>
  <c r="K165" i="1" s="1"/>
  <c r="J165" i="1"/>
  <c r="A165" i="1"/>
  <c r="N164" i="1"/>
  <c r="M164" i="1"/>
  <c r="L164" i="1"/>
  <c r="I164" i="1" s="1"/>
  <c r="A164" i="1"/>
  <c r="N163" i="1"/>
  <c r="M163" i="1"/>
  <c r="L163" i="1"/>
  <c r="K163" i="1" s="1"/>
  <c r="A163" i="1"/>
  <c r="N162" i="1"/>
  <c r="M162" i="1"/>
  <c r="L162" i="1"/>
  <c r="K162" i="1"/>
  <c r="J162" i="1"/>
  <c r="I162" i="1"/>
  <c r="A162" i="1"/>
  <c r="N161" i="1"/>
  <c r="M161" i="1"/>
  <c r="L161" i="1"/>
  <c r="K161" i="1"/>
  <c r="J161" i="1"/>
  <c r="I161" i="1"/>
  <c r="A161" i="1"/>
  <c r="N160" i="1"/>
  <c r="M160" i="1"/>
  <c r="L160" i="1"/>
  <c r="J160" i="1" s="1"/>
  <c r="K160" i="1"/>
  <c r="I160" i="1"/>
  <c r="A160" i="1"/>
  <c r="N159" i="1"/>
  <c r="M159" i="1"/>
  <c r="L159" i="1"/>
  <c r="K159" i="1" s="1"/>
  <c r="A159" i="1"/>
  <c r="N158" i="1"/>
  <c r="M158" i="1"/>
  <c r="L158" i="1"/>
  <c r="J158" i="1" s="1"/>
  <c r="K158" i="1"/>
  <c r="A158" i="1"/>
  <c r="N157" i="1"/>
  <c r="M157" i="1"/>
  <c r="L157" i="1"/>
  <c r="K157" i="1" s="1"/>
  <c r="J157" i="1"/>
  <c r="I157" i="1"/>
  <c r="A157" i="1"/>
  <c r="N156" i="1"/>
  <c r="M156" i="1"/>
  <c r="L156" i="1"/>
  <c r="K156" i="1"/>
  <c r="J156" i="1"/>
  <c r="I156" i="1"/>
  <c r="A156" i="1"/>
  <c r="N155" i="1"/>
  <c r="M155" i="1"/>
  <c r="L155" i="1"/>
  <c r="K155" i="1"/>
  <c r="J155" i="1"/>
  <c r="I155" i="1"/>
  <c r="A155" i="1"/>
  <c r="N154" i="1"/>
  <c r="M154" i="1"/>
  <c r="L154" i="1"/>
  <c r="I154" i="1" s="1"/>
  <c r="K154" i="1"/>
  <c r="J154" i="1"/>
  <c r="A154" i="1"/>
  <c r="N153" i="1"/>
  <c r="M153" i="1"/>
  <c r="L153" i="1"/>
  <c r="K153" i="1" s="1"/>
  <c r="J153" i="1"/>
  <c r="A153" i="1"/>
  <c r="N152" i="1"/>
  <c r="M152" i="1"/>
  <c r="L152" i="1"/>
  <c r="K152" i="1" s="1"/>
  <c r="A152" i="1"/>
  <c r="N151" i="1"/>
  <c r="M151" i="1"/>
  <c r="L151" i="1"/>
  <c r="K151" i="1" s="1"/>
  <c r="A151" i="1"/>
  <c r="N150" i="1"/>
  <c r="M150" i="1"/>
  <c r="L150" i="1"/>
  <c r="K150" i="1"/>
  <c r="J150" i="1"/>
  <c r="I150" i="1"/>
  <c r="A150" i="1"/>
  <c r="N149" i="1"/>
  <c r="M149" i="1"/>
  <c r="L149" i="1"/>
  <c r="K149" i="1"/>
  <c r="J149" i="1"/>
  <c r="I149" i="1"/>
  <c r="A149" i="1"/>
  <c r="N148" i="1"/>
  <c r="M148" i="1"/>
  <c r="L148" i="1"/>
  <c r="J148" i="1" s="1"/>
  <c r="K148" i="1"/>
  <c r="I148" i="1"/>
  <c r="A148" i="1"/>
  <c r="N147" i="1"/>
  <c r="M147" i="1"/>
  <c r="L147" i="1"/>
  <c r="K147" i="1" s="1"/>
  <c r="A147" i="1"/>
  <c r="N146" i="1"/>
  <c r="M146" i="1"/>
  <c r="L146" i="1"/>
  <c r="J146" i="1" s="1"/>
  <c r="K146" i="1"/>
  <c r="A146" i="1"/>
  <c r="N145" i="1"/>
  <c r="M145" i="1"/>
  <c r="L145" i="1"/>
  <c r="K145" i="1" s="1"/>
  <c r="J145" i="1"/>
  <c r="I145" i="1"/>
  <c r="A145" i="1"/>
  <c r="N144" i="1"/>
  <c r="M144" i="1"/>
  <c r="L144" i="1"/>
  <c r="K144" i="1"/>
  <c r="J144" i="1"/>
  <c r="I144" i="1"/>
  <c r="A144" i="1"/>
  <c r="N143" i="1"/>
  <c r="M143" i="1"/>
  <c r="L143" i="1"/>
  <c r="K143" i="1"/>
  <c r="J143" i="1"/>
  <c r="I143" i="1"/>
  <c r="A143" i="1"/>
  <c r="N142" i="1"/>
  <c r="M142" i="1"/>
  <c r="L142" i="1"/>
  <c r="I142" i="1" s="1"/>
  <c r="K142" i="1"/>
  <c r="J142" i="1"/>
  <c r="A142" i="1"/>
  <c r="N141" i="1"/>
  <c r="M141" i="1"/>
  <c r="L141" i="1"/>
  <c r="K141" i="1" s="1"/>
  <c r="J141" i="1"/>
  <c r="A141" i="1"/>
  <c r="N140" i="1"/>
  <c r="M140" i="1"/>
  <c r="L140" i="1"/>
  <c r="K140" i="1" s="1"/>
  <c r="A140" i="1"/>
  <c r="N139" i="1"/>
  <c r="M139" i="1"/>
  <c r="L139" i="1"/>
  <c r="K139" i="1" s="1"/>
  <c r="A139" i="1"/>
  <c r="N138" i="1"/>
  <c r="M138" i="1"/>
  <c r="L138" i="1"/>
  <c r="K138" i="1"/>
  <c r="J138" i="1"/>
  <c r="I138" i="1"/>
  <c r="A138" i="1"/>
  <c r="N137" i="1"/>
  <c r="M137" i="1"/>
  <c r="L137" i="1"/>
  <c r="K137" i="1"/>
  <c r="J137" i="1"/>
  <c r="I137" i="1"/>
  <c r="A137" i="1"/>
  <c r="N136" i="1"/>
  <c r="M136" i="1"/>
  <c r="L136" i="1"/>
  <c r="J136" i="1" s="1"/>
  <c r="K136" i="1"/>
  <c r="I136" i="1"/>
  <c r="A136" i="1"/>
  <c r="N135" i="1"/>
  <c r="M135" i="1"/>
  <c r="L135" i="1"/>
  <c r="K135" i="1" s="1"/>
  <c r="A135" i="1"/>
  <c r="N134" i="1"/>
  <c r="M134" i="1"/>
  <c r="L134" i="1"/>
  <c r="J134" i="1" s="1"/>
  <c r="K134" i="1"/>
  <c r="A134" i="1"/>
  <c r="N133" i="1"/>
  <c r="M133" i="1"/>
  <c r="L133" i="1"/>
  <c r="K133" i="1" s="1"/>
  <c r="J133" i="1"/>
  <c r="I133" i="1"/>
  <c r="A133" i="1"/>
  <c r="N132" i="1"/>
  <c r="M132" i="1"/>
  <c r="L132" i="1"/>
  <c r="K132" i="1"/>
  <c r="J132" i="1"/>
  <c r="I132" i="1"/>
  <c r="A132" i="1"/>
  <c r="N131" i="1"/>
  <c r="M131" i="1"/>
  <c r="L131" i="1"/>
  <c r="K131" i="1"/>
  <c r="J131" i="1"/>
  <c r="I131" i="1"/>
  <c r="A131" i="1"/>
  <c r="N130" i="1"/>
  <c r="M130" i="1"/>
  <c r="L130" i="1"/>
  <c r="I130" i="1" s="1"/>
  <c r="K130" i="1"/>
  <c r="J130" i="1"/>
  <c r="A130" i="1"/>
  <c r="N129" i="1"/>
  <c r="M129" i="1"/>
  <c r="L129" i="1"/>
  <c r="K129" i="1" s="1"/>
  <c r="J129" i="1"/>
  <c r="A129" i="1"/>
  <c r="N128" i="1"/>
  <c r="M128" i="1"/>
  <c r="L128" i="1"/>
  <c r="K128" i="1" s="1"/>
  <c r="A128" i="1"/>
  <c r="N127" i="1"/>
  <c r="M127" i="1"/>
  <c r="L127" i="1"/>
  <c r="K127" i="1" s="1"/>
  <c r="A127" i="1"/>
  <c r="N126" i="1"/>
  <c r="M126" i="1"/>
  <c r="L126" i="1"/>
  <c r="K126" i="1"/>
  <c r="J126" i="1"/>
  <c r="I126" i="1"/>
  <c r="A126" i="1"/>
  <c r="N125" i="1"/>
  <c r="M125" i="1"/>
  <c r="L125" i="1"/>
  <c r="K125" i="1"/>
  <c r="J125" i="1"/>
  <c r="I125" i="1"/>
  <c r="A125" i="1"/>
  <c r="N124" i="1"/>
  <c r="M124" i="1"/>
  <c r="L124" i="1"/>
  <c r="J124" i="1" s="1"/>
  <c r="K124" i="1"/>
  <c r="I124" i="1"/>
  <c r="A124" i="1"/>
  <c r="N123" i="1"/>
  <c r="M123" i="1"/>
  <c r="L123" i="1"/>
  <c r="K123" i="1" s="1"/>
  <c r="A123" i="1"/>
  <c r="N122" i="1"/>
  <c r="M122" i="1"/>
  <c r="L122" i="1"/>
  <c r="J122" i="1" s="1"/>
  <c r="K122" i="1"/>
  <c r="A122" i="1"/>
  <c r="N121" i="1"/>
  <c r="M121" i="1"/>
  <c r="L121" i="1"/>
  <c r="K121" i="1" s="1"/>
  <c r="J121" i="1"/>
  <c r="I121" i="1"/>
  <c r="A121" i="1"/>
  <c r="N120" i="1"/>
  <c r="M120" i="1"/>
  <c r="L120" i="1"/>
  <c r="K120" i="1"/>
  <c r="J120" i="1"/>
  <c r="I120" i="1"/>
  <c r="A120" i="1"/>
  <c r="N119" i="1"/>
  <c r="M119" i="1"/>
  <c r="L119" i="1"/>
  <c r="K119" i="1"/>
  <c r="J119" i="1"/>
  <c r="I119" i="1"/>
  <c r="A119" i="1"/>
  <c r="N118" i="1"/>
  <c r="M118" i="1"/>
  <c r="L118" i="1"/>
  <c r="I118" i="1" s="1"/>
  <c r="K118" i="1"/>
  <c r="J118" i="1"/>
  <c r="A118" i="1"/>
  <c r="N117" i="1"/>
  <c r="M117" i="1"/>
  <c r="L117" i="1"/>
  <c r="K117" i="1" s="1"/>
  <c r="J117" i="1"/>
  <c r="A117" i="1"/>
  <c r="N116" i="1"/>
  <c r="M116" i="1"/>
  <c r="L116" i="1"/>
  <c r="K116" i="1" s="1"/>
  <c r="A116" i="1"/>
  <c r="N115" i="1"/>
  <c r="M115" i="1"/>
  <c r="L115" i="1"/>
  <c r="K115" i="1" s="1"/>
  <c r="A115" i="1"/>
  <c r="N114" i="1"/>
  <c r="M114" i="1"/>
  <c r="L114" i="1"/>
  <c r="K114" i="1"/>
  <c r="J114" i="1"/>
  <c r="I114" i="1"/>
  <c r="A114" i="1"/>
  <c r="N113" i="1"/>
  <c r="M113" i="1"/>
  <c r="L113" i="1"/>
  <c r="K113" i="1"/>
  <c r="J113" i="1"/>
  <c r="I113" i="1"/>
  <c r="A113" i="1"/>
  <c r="N112" i="1"/>
  <c r="M112" i="1"/>
  <c r="L112" i="1"/>
  <c r="J112" i="1" s="1"/>
  <c r="K112" i="1"/>
  <c r="I112" i="1"/>
  <c r="A112" i="1"/>
  <c r="N111" i="1"/>
  <c r="M111" i="1"/>
  <c r="L111" i="1"/>
  <c r="K111" i="1" s="1"/>
  <c r="A111" i="1"/>
  <c r="N110" i="1"/>
  <c r="M110" i="1"/>
  <c r="L110" i="1"/>
  <c r="J110" i="1" s="1"/>
  <c r="K110" i="1"/>
  <c r="A110" i="1"/>
  <c r="N109" i="1"/>
  <c r="M109" i="1"/>
  <c r="L109" i="1"/>
  <c r="K109" i="1" s="1"/>
  <c r="J109" i="1"/>
  <c r="I109" i="1"/>
  <c r="A109" i="1"/>
  <c r="N108" i="1"/>
  <c r="M108" i="1"/>
  <c r="L108" i="1"/>
  <c r="K108" i="1"/>
  <c r="J108" i="1"/>
  <c r="I108" i="1"/>
  <c r="A108" i="1"/>
  <c r="N107" i="1"/>
  <c r="M107" i="1"/>
  <c r="L107" i="1"/>
  <c r="K107" i="1"/>
  <c r="J107" i="1"/>
  <c r="I107" i="1"/>
  <c r="A107" i="1"/>
  <c r="N106" i="1"/>
  <c r="M106" i="1"/>
  <c r="L106" i="1"/>
  <c r="I106" i="1" s="1"/>
  <c r="K106" i="1"/>
  <c r="J106" i="1"/>
  <c r="A106" i="1"/>
  <c r="N105" i="1"/>
  <c r="M105" i="1"/>
  <c r="L105" i="1"/>
  <c r="K105" i="1" s="1"/>
  <c r="J105" i="1"/>
  <c r="A105" i="1"/>
  <c r="N104" i="1"/>
  <c r="M104" i="1"/>
  <c r="L104" i="1"/>
  <c r="K104" i="1" s="1"/>
  <c r="A104" i="1"/>
  <c r="N103" i="1"/>
  <c r="M103" i="1"/>
  <c r="L103" i="1"/>
  <c r="K103" i="1" s="1"/>
  <c r="A103" i="1"/>
  <c r="N102" i="1"/>
  <c r="M102" i="1"/>
  <c r="L102" i="1"/>
  <c r="K102" i="1"/>
  <c r="J102" i="1"/>
  <c r="I102" i="1"/>
  <c r="A102" i="1"/>
  <c r="N101" i="1"/>
  <c r="M101" i="1"/>
  <c r="L101" i="1"/>
  <c r="K101" i="1"/>
  <c r="J101" i="1"/>
  <c r="I101" i="1"/>
  <c r="A101" i="1"/>
  <c r="N100" i="1"/>
  <c r="M100" i="1"/>
  <c r="L100" i="1"/>
  <c r="J100" i="1" s="1"/>
  <c r="K100" i="1"/>
  <c r="I100" i="1"/>
  <c r="A100" i="1"/>
  <c r="N99" i="1"/>
  <c r="M99" i="1"/>
  <c r="L99" i="1"/>
  <c r="K99" i="1" s="1"/>
  <c r="A99" i="1"/>
  <c r="N98" i="1"/>
  <c r="M98" i="1"/>
  <c r="L98" i="1"/>
  <c r="J98" i="1" s="1"/>
  <c r="K98" i="1"/>
  <c r="A98" i="1"/>
  <c r="N97" i="1"/>
  <c r="M97" i="1"/>
  <c r="L97" i="1"/>
  <c r="K97" i="1" s="1"/>
  <c r="J97" i="1"/>
  <c r="I97" i="1"/>
  <c r="A97" i="1"/>
  <c r="N96" i="1"/>
  <c r="M96" i="1"/>
  <c r="L96" i="1"/>
  <c r="K96" i="1"/>
  <c r="J96" i="1"/>
  <c r="I96" i="1"/>
  <c r="A96" i="1"/>
  <c r="N95" i="1"/>
  <c r="M95" i="1"/>
  <c r="L95" i="1"/>
  <c r="K95" i="1"/>
  <c r="J95" i="1"/>
  <c r="I95" i="1"/>
  <c r="A95" i="1"/>
  <c r="N94" i="1"/>
  <c r="M94" i="1"/>
  <c r="L94" i="1"/>
  <c r="I94" i="1" s="1"/>
  <c r="K94" i="1"/>
  <c r="J94" i="1"/>
  <c r="A94" i="1"/>
  <c r="N93" i="1"/>
  <c r="M93" i="1"/>
  <c r="L93" i="1"/>
  <c r="K93" i="1" s="1"/>
  <c r="J93" i="1"/>
  <c r="A93" i="1"/>
  <c r="N92" i="1"/>
  <c r="M92" i="1"/>
  <c r="L92" i="1"/>
  <c r="K92" i="1" s="1"/>
  <c r="A92" i="1"/>
  <c r="N91" i="1"/>
  <c r="M91" i="1"/>
  <c r="L91" i="1"/>
  <c r="K91" i="1" s="1"/>
  <c r="A91" i="1"/>
  <c r="N90" i="1"/>
  <c r="M90" i="1"/>
  <c r="L90" i="1"/>
  <c r="K90" i="1"/>
  <c r="J90" i="1"/>
  <c r="I90" i="1"/>
  <c r="A90" i="1"/>
  <c r="N89" i="1"/>
  <c r="M89" i="1"/>
  <c r="L89" i="1"/>
  <c r="K89" i="1"/>
  <c r="J89" i="1"/>
  <c r="I89" i="1"/>
  <c r="A89" i="1"/>
  <c r="N88" i="1"/>
  <c r="M88" i="1"/>
  <c r="L88" i="1"/>
  <c r="J88" i="1" s="1"/>
  <c r="K88" i="1"/>
  <c r="I88" i="1"/>
  <c r="A88" i="1"/>
  <c r="N87" i="1"/>
  <c r="M87" i="1"/>
  <c r="L87" i="1"/>
  <c r="K87" i="1" s="1"/>
  <c r="A87" i="1"/>
  <c r="N86" i="1"/>
  <c r="M86" i="1"/>
  <c r="L86" i="1"/>
  <c r="J86" i="1" s="1"/>
  <c r="K86" i="1"/>
  <c r="A86" i="1"/>
  <c r="N85" i="1"/>
  <c r="M85" i="1"/>
  <c r="L85" i="1"/>
  <c r="K85" i="1" s="1"/>
  <c r="J85" i="1"/>
  <c r="I85" i="1"/>
  <c r="A85" i="1"/>
  <c r="N84" i="1"/>
  <c r="M84" i="1"/>
  <c r="L84" i="1"/>
  <c r="K84" i="1"/>
  <c r="J84" i="1"/>
  <c r="I84" i="1"/>
  <c r="A84" i="1"/>
  <c r="N83" i="1"/>
  <c r="M83" i="1"/>
  <c r="L83" i="1"/>
  <c r="K83" i="1"/>
  <c r="J83" i="1"/>
  <c r="I83" i="1"/>
  <c r="A83" i="1"/>
  <c r="N82" i="1"/>
  <c r="M82" i="1"/>
  <c r="L82" i="1"/>
  <c r="I82" i="1" s="1"/>
  <c r="K82" i="1"/>
  <c r="J82" i="1"/>
  <c r="A82" i="1"/>
  <c r="N81" i="1"/>
  <c r="M81" i="1"/>
  <c r="L81" i="1"/>
  <c r="K81" i="1" s="1"/>
  <c r="J81" i="1"/>
  <c r="A81" i="1"/>
  <c r="N80" i="1"/>
  <c r="M80" i="1"/>
  <c r="L80" i="1"/>
  <c r="K80" i="1" s="1"/>
  <c r="A80" i="1"/>
  <c r="N79" i="1"/>
  <c r="M79" i="1"/>
  <c r="L79" i="1"/>
  <c r="K79" i="1" s="1"/>
  <c r="A79" i="1"/>
  <c r="N78" i="1"/>
  <c r="M78" i="1"/>
  <c r="L78" i="1"/>
  <c r="K78" i="1"/>
  <c r="J78" i="1"/>
  <c r="I78" i="1"/>
  <c r="A78" i="1"/>
  <c r="N77" i="1"/>
  <c r="M77" i="1"/>
  <c r="L77" i="1"/>
  <c r="K77" i="1"/>
  <c r="J77" i="1"/>
  <c r="I77" i="1"/>
  <c r="A77" i="1"/>
  <c r="N76" i="1"/>
  <c r="M76" i="1"/>
  <c r="L76" i="1"/>
  <c r="J76" i="1" s="1"/>
  <c r="K76" i="1"/>
  <c r="I76" i="1"/>
  <c r="A76" i="1"/>
  <c r="N75" i="1"/>
  <c r="M75" i="1"/>
  <c r="L75" i="1"/>
  <c r="K75" i="1" s="1"/>
  <c r="A75" i="1"/>
  <c r="N74" i="1"/>
  <c r="M74" i="1"/>
  <c r="L74" i="1"/>
  <c r="J74" i="1" s="1"/>
  <c r="K74" i="1"/>
  <c r="A74" i="1"/>
  <c r="N73" i="1"/>
  <c r="M73" i="1"/>
  <c r="L73" i="1"/>
  <c r="K73" i="1" s="1"/>
  <c r="J73" i="1"/>
  <c r="I73" i="1"/>
  <c r="A73" i="1"/>
  <c r="N72" i="1"/>
  <c r="M72" i="1"/>
  <c r="L72" i="1"/>
  <c r="K72" i="1"/>
  <c r="J72" i="1"/>
  <c r="I72" i="1"/>
  <c r="A72" i="1"/>
  <c r="N71" i="1"/>
  <c r="M71" i="1"/>
  <c r="L71" i="1"/>
  <c r="K71" i="1"/>
  <c r="J71" i="1"/>
  <c r="I71" i="1"/>
  <c r="A71" i="1"/>
  <c r="N70" i="1"/>
  <c r="M70" i="1"/>
  <c r="L70" i="1"/>
  <c r="I70" i="1" s="1"/>
  <c r="K70" i="1"/>
  <c r="J70" i="1"/>
  <c r="A70" i="1"/>
  <c r="N69" i="1"/>
  <c r="M69" i="1"/>
  <c r="L69" i="1"/>
  <c r="K69" i="1" s="1"/>
  <c r="J69" i="1"/>
  <c r="A69" i="1"/>
  <c r="N68" i="1"/>
  <c r="M68" i="1"/>
  <c r="L68" i="1"/>
  <c r="I68" i="1" s="1"/>
  <c r="A68" i="1"/>
  <c r="N67" i="1"/>
  <c r="M67" i="1"/>
  <c r="L67" i="1"/>
  <c r="K67" i="1" s="1"/>
  <c r="A67" i="1"/>
  <c r="N66" i="1"/>
  <c r="M66" i="1"/>
  <c r="L66" i="1"/>
  <c r="K66" i="1"/>
  <c r="J66" i="1"/>
  <c r="I66" i="1"/>
  <c r="A66" i="1"/>
  <c r="N65" i="1"/>
  <c r="M65" i="1"/>
  <c r="L65" i="1"/>
  <c r="K65" i="1"/>
  <c r="J65" i="1"/>
  <c r="I65" i="1"/>
  <c r="A65" i="1"/>
  <c r="N64" i="1"/>
  <c r="M64" i="1"/>
  <c r="L64" i="1"/>
  <c r="J64" i="1" s="1"/>
  <c r="K64" i="1"/>
  <c r="I64" i="1"/>
  <c r="A64" i="1"/>
  <c r="N63" i="1"/>
  <c r="M63" i="1"/>
  <c r="L63" i="1"/>
  <c r="K63" i="1" s="1"/>
  <c r="A63" i="1"/>
  <c r="N62" i="1"/>
  <c r="M62" i="1"/>
  <c r="L62" i="1"/>
  <c r="J62" i="1" s="1"/>
  <c r="K62" i="1"/>
  <c r="A62" i="1"/>
  <c r="N61" i="1"/>
  <c r="M61" i="1"/>
  <c r="L61" i="1"/>
  <c r="K61" i="1"/>
  <c r="J61" i="1"/>
  <c r="I61" i="1"/>
  <c r="A61" i="1"/>
  <c r="N60" i="1"/>
  <c r="M60" i="1"/>
  <c r="L60" i="1"/>
  <c r="K60" i="1"/>
  <c r="J60" i="1"/>
  <c r="I60" i="1"/>
  <c r="A60" i="1"/>
  <c r="N59" i="1"/>
  <c r="M59" i="1"/>
  <c r="L59" i="1"/>
  <c r="K59" i="1"/>
  <c r="J59" i="1"/>
  <c r="I59" i="1"/>
  <c r="A59" i="1"/>
  <c r="N58" i="1"/>
  <c r="M58" i="1"/>
  <c r="L58" i="1"/>
  <c r="I58" i="1" s="1"/>
  <c r="K58" i="1"/>
  <c r="J58" i="1"/>
  <c r="A58" i="1"/>
  <c r="N57" i="1"/>
  <c r="M57" i="1"/>
  <c r="L57" i="1"/>
  <c r="K57" i="1" s="1"/>
  <c r="J57" i="1"/>
  <c r="A57" i="1"/>
  <c r="N56" i="1"/>
  <c r="M56" i="1"/>
  <c r="L56" i="1"/>
  <c r="K56" i="1" s="1"/>
  <c r="A56" i="1"/>
  <c r="N55" i="1"/>
  <c r="M55" i="1"/>
  <c r="L55" i="1"/>
  <c r="K55" i="1" s="1"/>
  <c r="A55" i="1"/>
  <c r="N54" i="1"/>
  <c r="M54" i="1"/>
  <c r="L54" i="1"/>
  <c r="K54" i="1"/>
  <c r="J54" i="1"/>
  <c r="I54" i="1"/>
  <c r="A54" i="1"/>
  <c r="N53" i="1"/>
  <c r="M53" i="1"/>
  <c r="L53" i="1"/>
  <c r="K53" i="1"/>
  <c r="J53" i="1"/>
  <c r="I53" i="1"/>
  <c r="A53" i="1"/>
  <c r="N52" i="1"/>
  <c r="M52" i="1"/>
  <c r="L52" i="1"/>
  <c r="J52" i="1" s="1"/>
  <c r="K52" i="1"/>
  <c r="I52" i="1"/>
  <c r="A52" i="1"/>
  <c r="N51" i="1"/>
  <c r="M51" i="1"/>
  <c r="L51" i="1"/>
  <c r="K51" i="1" s="1"/>
  <c r="A51" i="1"/>
  <c r="N50" i="1"/>
  <c r="M50" i="1"/>
  <c r="L50" i="1"/>
  <c r="J50" i="1" s="1"/>
  <c r="K50" i="1"/>
  <c r="A50" i="1"/>
  <c r="N49" i="1"/>
  <c r="M49" i="1"/>
  <c r="L49" i="1"/>
  <c r="K49" i="1"/>
  <c r="J49" i="1"/>
  <c r="I49" i="1"/>
  <c r="A49" i="1"/>
  <c r="N48" i="1"/>
  <c r="M48" i="1"/>
  <c r="L48" i="1"/>
  <c r="K48" i="1"/>
  <c r="J48" i="1"/>
  <c r="I48" i="1"/>
  <c r="A48" i="1"/>
  <c r="N47" i="1"/>
  <c r="M47" i="1"/>
  <c r="L47" i="1"/>
  <c r="K47" i="1"/>
  <c r="J47" i="1"/>
  <c r="I47" i="1"/>
  <c r="A47" i="1"/>
  <c r="N46" i="1"/>
  <c r="M46" i="1"/>
  <c r="L46" i="1"/>
  <c r="I46" i="1" s="1"/>
  <c r="K46" i="1"/>
  <c r="J46" i="1"/>
  <c r="A46" i="1"/>
  <c r="N45" i="1"/>
  <c r="M45" i="1"/>
  <c r="L45" i="1"/>
  <c r="K45" i="1" s="1"/>
  <c r="J45" i="1"/>
  <c r="A45" i="1"/>
  <c r="N44" i="1"/>
  <c r="M44" i="1"/>
  <c r="L44" i="1"/>
  <c r="I44" i="1" s="1"/>
  <c r="A44" i="1"/>
  <c r="N43" i="1"/>
  <c r="M43" i="1"/>
  <c r="L43" i="1"/>
  <c r="K43" i="1" s="1"/>
  <c r="A43" i="1"/>
  <c r="N42" i="1"/>
  <c r="M42" i="1"/>
  <c r="L42" i="1"/>
  <c r="K42" i="1"/>
  <c r="J42" i="1"/>
  <c r="I42" i="1"/>
  <c r="A42" i="1"/>
  <c r="N41" i="1"/>
  <c r="M41" i="1"/>
  <c r="L41" i="1"/>
  <c r="K41" i="1"/>
  <c r="J41" i="1"/>
  <c r="I41" i="1"/>
  <c r="A41" i="1"/>
  <c r="N40" i="1"/>
  <c r="M40" i="1"/>
  <c r="L40" i="1"/>
  <c r="J40" i="1" s="1"/>
  <c r="K40" i="1"/>
  <c r="I40" i="1"/>
  <c r="A40" i="1"/>
  <c r="N39" i="1"/>
  <c r="M39" i="1"/>
  <c r="L39" i="1"/>
  <c r="K39" i="1" s="1"/>
  <c r="A39" i="1"/>
  <c r="N38" i="1"/>
  <c r="M38" i="1"/>
  <c r="L38" i="1"/>
  <c r="J38" i="1" s="1"/>
  <c r="K38" i="1"/>
  <c r="A38" i="1"/>
  <c r="N37" i="1"/>
  <c r="M37" i="1"/>
  <c r="L37" i="1"/>
  <c r="K37" i="1"/>
  <c r="J37" i="1"/>
  <c r="I37" i="1"/>
  <c r="A37" i="1"/>
  <c r="N36" i="1"/>
  <c r="M36" i="1"/>
  <c r="L36" i="1"/>
  <c r="K36" i="1"/>
  <c r="J36" i="1"/>
  <c r="I36" i="1"/>
  <c r="A36" i="1"/>
  <c r="N35" i="1"/>
  <c r="M35" i="1"/>
  <c r="L35" i="1"/>
  <c r="K35" i="1"/>
  <c r="J35" i="1"/>
  <c r="I35" i="1"/>
  <c r="A35" i="1"/>
  <c r="N34" i="1"/>
  <c r="M34" i="1"/>
  <c r="L34" i="1"/>
  <c r="I34" i="1" s="1"/>
  <c r="K34" i="1"/>
  <c r="J34" i="1"/>
  <c r="A34" i="1"/>
  <c r="N33" i="1"/>
  <c r="M33" i="1"/>
  <c r="L33" i="1"/>
  <c r="K33" i="1" s="1"/>
  <c r="J33" i="1"/>
  <c r="A33" i="1"/>
  <c r="N32" i="1"/>
  <c r="M32" i="1"/>
  <c r="L32" i="1"/>
  <c r="I32" i="1" s="1"/>
  <c r="A32" i="1"/>
  <c r="N31" i="1"/>
  <c r="M31" i="1"/>
  <c r="L31" i="1"/>
  <c r="K31" i="1" s="1"/>
  <c r="A31" i="1"/>
  <c r="N30" i="1"/>
  <c r="M30" i="1"/>
  <c r="L30" i="1"/>
  <c r="K30" i="1"/>
  <c r="J30" i="1"/>
  <c r="I30" i="1"/>
  <c r="A30" i="1"/>
  <c r="N29" i="1"/>
  <c r="M29" i="1"/>
  <c r="L29" i="1"/>
  <c r="K29" i="1"/>
  <c r="J29" i="1"/>
  <c r="I29" i="1"/>
  <c r="A29" i="1"/>
  <c r="N28" i="1"/>
  <c r="M28" i="1"/>
  <c r="L28" i="1"/>
  <c r="J28" i="1" s="1"/>
  <c r="K28" i="1"/>
  <c r="I28" i="1"/>
  <c r="A28" i="1"/>
  <c r="N27" i="1"/>
  <c r="M27" i="1"/>
  <c r="L27" i="1"/>
  <c r="K27" i="1" s="1"/>
  <c r="A27" i="1"/>
  <c r="N26" i="1"/>
  <c r="M26" i="1"/>
  <c r="L26" i="1"/>
  <c r="J26" i="1" s="1"/>
  <c r="K26" i="1"/>
  <c r="A26" i="1"/>
  <c r="N25" i="1"/>
  <c r="M25" i="1"/>
  <c r="L25" i="1"/>
  <c r="K25" i="1"/>
  <c r="J25" i="1"/>
  <c r="I25" i="1"/>
  <c r="A25" i="1"/>
  <c r="N24" i="1"/>
  <c r="M24" i="1"/>
  <c r="L24" i="1"/>
  <c r="K24" i="1"/>
  <c r="J24" i="1"/>
  <c r="I24" i="1"/>
  <c r="A24" i="1"/>
  <c r="N23" i="1"/>
  <c r="M23" i="1"/>
  <c r="L23" i="1"/>
  <c r="K23" i="1"/>
  <c r="J23" i="1"/>
  <c r="I23" i="1"/>
  <c r="A23" i="1"/>
  <c r="N22" i="1"/>
  <c r="M22" i="1"/>
  <c r="L22" i="1"/>
  <c r="I22" i="1" s="1"/>
  <c r="K22" i="1"/>
  <c r="J22" i="1"/>
  <c r="A22" i="1"/>
  <c r="N21" i="1"/>
  <c r="M21" i="1"/>
  <c r="L21" i="1"/>
  <c r="K21" i="1" s="1"/>
  <c r="J21" i="1"/>
  <c r="A21" i="1"/>
  <c r="N20" i="1"/>
  <c r="M20" i="1"/>
  <c r="L20" i="1"/>
  <c r="K20" i="1" s="1"/>
  <c r="A20" i="1"/>
  <c r="N19" i="1"/>
  <c r="M19" i="1"/>
  <c r="L19" i="1"/>
  <c r="K19" i="1" s="1"/>
  <c r="A19" i="1"/>
  <c r="N18" i="1"/>
  <c r="M18" i="1"/>
  <c r="L18" i="1"/>
  <c r="K18" i="1"/>
  <c r="J18" i="1"/>
  <c r="I18" i="1"/>
  <c r="A18" i="1"/>
  <c r="N17" i="1"/>
  <c r="M17" i="1"/>
  <c r="L17" i="1"/>
  <c r="K17" i="1"/>
  <c r="J17" i="1"/>
  <c r="I17" i="1"/>
  <c r="A17" i="1"/>
  <c r="N16" i="1"/>
  <c r="M16" i="1"/>
  <c r="L16" i="1"/>
  <c r="J16" i="1" s="1"/>
  <c r="K16" i="1"/>
  <c r="I16" i="1"/>
  <c r="A16" i="1"/>
  <c r="N15" i="1"/>
  <c r="M15" i="1"/>
  <c r="L15" i="1"/>
  <c r="J15" i="1" s="1"/>
  <c r="K15" i="1"/>
  <c r="A15" i="1"/>
  <c r="N14" i="1"/>
  <c r="M14" i="1"/>
  <c r="L14" i="1"/>
  <c r="J14" i="1" s="1"/>
  <c r="K14" i="1"/>
  <c r="A14" i="1"/>
  <c r="N13" i="1"/>
  <c r="M13" i="1"/>
  <c r="L13" i="1"/>
  <c r="K13" i="1"/>
  <c r="J13" i="1"/>
  <c r="I13" i="1"/>
  <c r="A13" i="1"/>
  <c r="N12" i="1"/>
  <c r="M12" i="1"/>
  <c r="L12" i="1"/>
  <c r="K12" i="1"/>
  <c r="J12" i="1"/>
  <c r="I12" i="1"/>
  <c r="A12" i="1"/>
  <c r="N11" i="1"/>
  <c r="M11" i="1"/>
  <c r="L11" i="1"/>
  <c r="K11" i="1"/>
  <c r="J11" i="1"/>
  <c r="I11" i="1"/>
  <c r="A11" i="1"/>
  <c r="N10" i="1"/>
  <c r="M10" i="1"/>
  <c r="L10" i="1"/>
  <c r="I10" i="1" s="1"/>
  <c r="K10" i="1"/>
  <c r="J10" i="1"/>
  <c r="A10" i="1"/>
  <c r="N9" i="1"/>
  <c r="M9" i="1"/>
  <c r="L9" i="1"/>
  <c r="K9" i="1" s="1"/>
  <c r="J9" i="1"/>
  <c r="A9" i="1"/>
  <c r="N8" i="1"/>
  <c r="M8" i="1"/>
  <c r="L8" i="1"/>
  <c r="I8" i="1" s="1"/>
  <c r="A8" i="1"/>
  <c r="N7" i="1"/>
  <c r="M7" i="1"/>
  <c r="L7" i="1"/>
  <c r="K7" i="1" s="1"/>
  <c r="A7" i="1"/>
  <c r="N6" i="1"/>
  <c r="M6" i="1"/>
  <c r="L6" i="1"/>
  <c r="K6" i="1"/>
  <c r="J6" i="1"/>
  <c r="I6" i="1"/>
  <c r="A6" i="1"/>
  <c r="N5" i="1"/>
  <c r="M5" i="1"/>
  <c r="L5" i="1"/>
  <c r="K5" i="1"/>
  <c r="J5" i="1"/>
  <c r="I5" i="1"/>
  <c r="A5" i="1"/>
  <c r="N4" i="1"/>
  <c r="M4" i="1"/>
  <c r="L4" i="1"/>
  <c r="J4" i="1" s="1"/>
  <c r="K4" i="1"/>
  <c r="I4" i="1"/>
  <c r="A4" i="1"/>
  <c r="N3" i="1"/>
  <c r="M3" i="1"/>
  <c r="L3" i="1"/>
  <c r="J3" i="1" s="1"/>
  <c r="K3" i="1"/>
  <c r="A3" i="1"/>
  <c r="N2" i="1"/>
  <c r="M2" i="1"/>
  <c r="L2" i="1"/>
  <c r="J2" i="1" s="1"/>
  <c r="K2" i="1"/>
  <c r="A2" i="1"/>
  <c r="I56" i="1" l="1"/>
  <c r="I80" i="1"/>
  <c r="I104" i="1"/>
  <c r="I116" i="1"/>
  <c r="I128" i="1"/>
  <c r="I152" i="1"/>
  <c r="I15" i="1"/>
  <c r="J20" i="1"/>
  <c r="I27" i="1"/>
  <c r="J32" i="1"/>
  <c r="I63" i="1"/>
  <c r="J68" i="1"/>
  <c r="I75" i="1"/>
  <c r="J80" i="1"/>
  <c r="I87" i="1"/>
  <c r="J92" i="1"/>
  <c r="I99" i="1"/>
  <c r="J104" i="1"/>
  <c r="I111" i="1"/>
  <c r="J116" i="1"/>
  <c r="I123" i="1"/>
  <c r="J128" i="1"/>
  <c r="I135" i="1"/>
  <c r="J140" i="1"/>
  <c r="I147" i="1"/>
  <c r="J152" i="1"/>
  <c r="I159" i="1"/>
  <c r="J164" i="1"/>
  <c r="K169" i="1"/>
  <c r="I171" i="1"/>
  <c r="J176" i="1"/>
  <c r="K181" i="1"/>
  <c r="I183" i="1"/>
  <c r="J188" i="1"/>
  <c r="K193" i="1"/>
  <c r="I195" i="1"/>
  <c r="J200" i="1"/>
  <c r="I20" i="1"/>
  <c r="I92" i="1"/>
  <c r="I140" i="1"/>
  <c r="I3" i="1"/>
  <c r="J8" i="1"/>
  <c r="I39" i="1"/>
  <c r="J44" i="1"/>
  <c r="I51" i="1"/>
  <c r="J56" i="1"/>
  <c r="K8" i="1"/>
  <c r="J27" i="1"/>
  <c r="K32" i="1"/>
  <c r="J39" i="1"/>
  <c r="K44" i="1"/>
  <c r="J51" i="1"/>
  <c r="J63" i="1"/>
  <c r="K68" i="1"/>
  <c r="J75" i="1"/>
  <c r="J87" i="1"/>
  <c r="J99" i="1"/>
  <c r="J111" i="1"/>
  <c r="J123" i="1"/>
  <c r="J135" i="1"/>
  <c r="J147" i="1"/>
  <c r="J159" i="1"/>
  <c r="K164" i="1"/>
  <c r="J171" i="1"/>
  <c r="K176" i="1"/>
  <c r="J183" i="1"/>
  <c r="K188" i="1"/>
  <c r="K200" i="1"/>
  <c r="J197" i="1"/>
  <c r="I187" i="1"/>
  <c r="I199" i="1"/>
  <c r="I19" i="1"/>
  <c r="I67" i="1"/>
  <c r="I115" i="1"/>
  <c r="I127" i="1"/>
  <c r="I2" i="1"/>
  <c r="J7" i="1"/>
  <c r="I38" i="1"/>
  <c r="I50" i="1"/>
  <c r="J55" i="1"/>
  <c r="I74" i="1"/>
  <c r="J91" i="1"/>
  <c r="I98" i="1"/>
  <c r="J103" i="1"/>
  <c r="J139" i="1"/>
  <c r="I146" i="1"/>
  <c r="J151" i="1"/>
  <c r="J175" i="1"/>
  <c r="J199" i="1"/>
  <c r="I7" i="1"/>
  <c r="I31" i="1"/>
  <c r="I43" i="1"/>
  <c r="I55" i="1"/>
  <c r="I79" i="1"/>
  <c r="I91" i="1"/>
  <c r="I103" i="1"/>
  <c r="I139" i="1"/>
  <c r="I151" i="1"/>
  <c r="I163" i="1"/>
  <c r="I175" i="1"/>
  <c r="I14" i="1"/>
  <c r="J19" i="1"/>
  <c r="I26" i="1"/>
  <c r="J31" i="1"/>
  <c r="J43" i="1"/>
  <c r="I62" i="1"/>
  <c r="J67" i="1"/>
  <c r="J79" i="1"/>
  <c r="I86" i="1"/>
  <c r="I110" i="1"/>
  <c r="J115" i="1"/>
  <c r="I122" i="1"/>
  <c r="J127" i="1"/>
  <c r="I134" i="1"/>
  <c r="I158" i="1"/>
  <c r="J163" i="1"/>
  <c r="I170" i="1"/>
  <c r="I182" i="1"/>
  <c r="J187" i="1"/>
  <c r="I9" i="1"/>
  <c r="I21" i="1"/>
  <c r="I33" i="1"/>
  <c r="I45" i="1"/>
  <c r="I57" i="1"/>
  <c r="I69" i="1"/>
  <c r="I81" i="1"/>
  <c r="I93" i="1"/>
  <c r="I105" i="1"/>
  <c r="I117" i="1"/>
  <c r="I129" i="1"/>
  <c r="I141" i="1"/>
  <c r="I153" i="1"/>
  <c r="I165" i="1"/>
  <c r="I177" i="1"/>
  <c r="I189" i="1"/>
  <c r="I201" i="1"/>
  <c r="J201" i="1"/>
  <c r="J172" i="1"/>
  <c r="J184" i="1"/>
  <c r="I198" i="1"/>
  <c r="I193" i="1"/>
  <c r="J1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storefront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auto (row number)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1 or 2 (facilitator enters)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e.g. OFAT-1, FRAC-1, CCD-1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5 – 20; hard cap 20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0 – 40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0.5 – 4.0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0 – 25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100 – 160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response — formula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response — formula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response — formula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reason string; blank = feasible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count of runs for this team so far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20 total (15 round-1, +5 round-2)</t>
        </r>
      </text>
    </comment>
  </commentList>
</comments>
</file>

<file path=xl/sharedStrings.xml><?xml version="1.0" encoding="utf-8"?>
<sst xmlns="http://schemas.openxmlformats.org/spreadsheetml/2006/main" count="39" uniqueCount="39">
  <si>
    <t>run_id</t>
  </si>
  <si>
    <t>round</t>
  </si>
  <si>
    <t>team_id</t>
  </si>
  <si>
    <t>latex_pct</t>
  </si>
  <si>
    <t>filler_phr</t>
  </si>
  <si>
    <t>crosslinker_phr</t>
  </si>
  <si>
    <t>plasticizer_phr</t>
  </si>
  <si>
    <t>cure_temp_c</t>
  </si>
  <si>
    <t>tensile_mpa</t>
  </si>
  <si>
    <t>elongation_pct</t>
  </si>
  <si>
    <t>hardness_shore_a</t>
  </si>
  <si>
    <t>infeasible</t>
  </si>
  <si>
    <t>budget_used_by_team</t>
  </si>
  <si>
    <t>budget_remaining</t>
  </si>
  <si>
    <t>STOREFRONT — how to use during the tutorial</t>
  </si>
  <si>
    <t>1. Round 1: teams submit their designed experiments (paper, chat, or verbally).</t>
  </si>
  <si>
    <t xml:space="preserve">   For each submission, add a new row on the 'storefront' sheet:</t>
  </si>
  <si>
    <t xml:space="preserve">     • round     → 1</t>
  </si>
  <si>
    <t xml:space="preserve">     • team_id   → e.g. OFAT-1, FRAC-1, CCD-1</t>
  </si>
  <si>
    <t xml:space="preserve">     • the five factor columns → the team's requested values</t>
  </si>
  <si>
    <t xml:space="preserve">   Formulas auto-fill tensile / elongation / hardness / feasibility / budget.</t>
  </si>
  <si>
    <t xml:space="preserve">   Read the three responses back to the team.</t>
  </si>
  <si>
    <t>2. If infeasible fires, tell the team WHY (formula tells you) and DO NOT count</t>
  </si>
  <si>
    <t xml:space="preserve">   the run against their budget. Delete the row (or leave it; only feasible</t>
  </si>
  <si>
    <t xml:space="preserve">   rows should count against them). Simplest: delete the row and let them retry.</t>
  </si>
  <si>
    <t>3. When a team's budget_remaining reaches 0, they are done for the round.</t>
  </si>
  <si>
    <t>4. Between rounds — announce the customer twist (also maximize elongation).</t>
  </si>
  <si>
    <t xml:space="preserve">   Round 2 top-up: each team gets 5 additional experiment-dollars.</t>
  </si>
  <si>
    <t xml:space="preserve">   Enter their new runs with round = 2.</t>
  </si>
  <si>
    <t>5. Noise is deterministic on ROW(): the same row always gives the same</t>
  </si>
  <si>
    <t xml:space="preserve">   responses. A replicate (same factor levels on a NEW row) gets independent</t>
  </si>
  <si>
    <t xml:space="preserve">   noise. Do NOT paste-values — the formulas are already stable.</t>
  </si>
  <si>
    <t>6. At the debrief: export this workbook as .xlsx, place it next to reveal.py</t>
  </si>
  <si>
    <t xml:space="preserve">   in the same folder, and run reveal.py to produce the comparison plots.</t>
  </si>
  <si>
    <t>NOTES on the model (for the facilitator's eyes only):</t>
  </si>
  <si>
    <t xml:space="preserve">  • Tensile — dominantly linear in filler + crosslinker with a BC interaction.</t>
  </si>
  <si>
    <t xml:space="preserve">  • Elongation — interior optimum near (filler=10, xlink=3.25, plast=18.75).</t>
  </si>
  <si>
    <t xml:space="preserve">  • Hardness — realistic red herring; not the target of either round.</t>
  </si>
  <si>
    <t xml:space="preserve">  • Hard constraint: latex_pct &gt; 20 → infeasible (mixture unstable).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</si>
</sst>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10" customWidth="1"/>
    <col min="2" max="2" width="8" customWidth="1"/>
    <col min="3" max="3" width="14" customWidth="1"/>
    <col min="4" max="4" width="16" customWidth="1"/>
    <col min="5" max="5" width="12" customWidth="1"/>
    <col min="6" max="7" width="16" customWidth="1"/>
    <col min="8" max="9" width="12" customWidth="1"/>
    <col min="10" max="10" width="14" customWidth="1"/>
    <col min="11" max="11" width="16" customWidth="1"/>
    <col min="12" max="12" width="32" customWidth="1"/>
    <col min="13" max="13" width="20" customWidth="1"/>
    <col min="14" max="14" width="1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f t="shared" ref="A2:A33" si="0">ROW()-1</f>
        <v>1</v>
      </c>
      <c r="I2" s="2">
        <f t="shared" ref="I2:I33" si="1">IF(L2&lt;&gt;"","",8+0.1*(((D2)-12.5)/7.5)+3*(((E2)-20)/20)+2*(((F2)-2.25)/1.75)+(-0.2)*(((G2)-12.5)/12.5)+0.2*(((H2)-130)/30)+1.5*(((E2)-20)/20)*(((F2)-2.25)/1.75)+((MOD(ROW()*12347,1000)/1000-0.5)*2*0.6*SQRT(3)))</f>
        <v>3.9270309518115583</v>
      </c>
      <c r="J2" s="3">
        <f t="shared" ref="J2:J33" si="2">IF(L2&lt;&gt;"","",380+3*(((D2)-12.5)/7.5)+8*(((H2)-130)/30)+(-100)*((((E2)-20)/20)-(-0.5))^2+(-150)*((((F2)-2.25)/1.75)-(0.5))^2+(-80)*((((G2)-12.5)/12.5)-(0.5))^2+(-10)*(((E2)-20)/20)*(((F2)-2.25)/1.75)+((MOD(ROW()*23473,1000)/1000-0.5)*2*15*SQRT(3)))</f>
        <v>-332.66529624915023</v>
      </c>
      <c r="K2" s="3">
        <f t="shared" ref="K2:K33" si="3">IF(L2&lt;&gt;"","",55+0.5*(((D2)-12.5)/7.5)+12*(((E2)-20)/20)+5*(((F2)-2.25)/1.75)+(-3)*(((G2)-12.5)/12.5)+2*(((H2)-130)/30)+3*(((E2)-20)/20)*(((F2)-2.25)/1.75)+((MOD(ROW()*34537,1000)/1000-0.5)*2*2.5*SQRT(3)))</f>
        <v>30.239303208449723</v>
      </c>
      <c r="L2" t="str">
        <f t="shared" ref="L2:L33" si="4">IF(OR(ISBLANK(D2),ISBLANK(E2),ISBLANK(F2),ISBLANK(G2),ISBLANK(H2)),"",IF(D2&gt;20,"latex &gt; 20% — mixture unstable",IF(OR(D2&lt;5,E2&lt;0,E2&gt;40,F2&lt;0.5,F2&gt;4,G2&lt;0,G2&gt;25,H2&lt;100,H2&gt;160),"out of range","")))</f>
        <v/>
      </c>
      <c r="M2" t="str">
        <f>IF(ISBLANK(C2),"",COUNTIFS(C$2:C2,C2))</f>
        <v/>
      </c>
      <c r="N2" t="str">
        <f>IF(ISBLANK(C2),"",IF(B2=2,20,15)-COUNTIFS(C$2:C2,C2))</f>
        <v/>
      </c>
    </row>
    <row r="3" spans="1:14" x14ac:dyDescent="0.35">
      <c r="A3">
        <f t="shared" si="0"/>
        <v>2</v>
      </c>
      <c r="I3" s="2">
        <f t="shared" si="1"/>
        <v>2.5697959390005862</v>
      </c>
      <c r="J3" s="3">
        <f t="shared" si="2"/>
        <v>-360.04901951681416</v>
      </c>
      <c r="K3" s="3">
        <f t="shared" si="3"/>
        <v>34.889859626772157</v>
      </c>
      <c r="L3" t="str">
        <f t="shared" si="4"/>
        <v/>
      </c>
      <c r="M3" t="str">
        <f>IF(ISBLANK(C3),"",COUNTIFS(C$2:C3,C3))</f>
        <v/>
      </c>
      <c r="N3" t="str">
        <f>IF(ISBLANK(C3),"",IF(B3=2,20,15)-COUNTIFS(C$2:C3,C3))</f>
        <v/>
      </c>
    </row>
    <row r="4" spans="1:14" x14ac:dyDescent="0.35">
      <c r="A4">
        <f t="shared" si="0"/>
        <v>3</v>
      </c>
      <c r="I4" s="2">
        <f t="shared" si="1"/>
        <v>3.2910218952722667</v>
      </c>
      <c r="J4" s="3">
        <f t="shared" si="2"/>
        <v>-335.47121855741182</v>
      </c>
      <c r="K4" s="3">
        <f t="shared" si="3"/>
        <v>30.880162007250206</v>
      </c>
      <c r="L4" t="str">
        <f t="shared" si="4"/>
        <v/>
      </c>
      <c r="M4" t="str">
        <f>IF(ISBLANK(C4),"",COUNTIFS(C$2:C4,C4))</f>
        <v/>
      </c>
      <c r="N4" t="str">
        <f>IF(ISBLANK(C4),"",IF(B4=2,20,15)-COUNTIFS(C$2:C4,C4))</f>
        <v/>
      </c>
    </row>
    <row r="5" spans="1:14" x14ac:dyDescent="0.35">
      <c r="A5">
        <f t="shared" si="0"/>
        <v>4</v>
      </c>
      <c r="I5" s="2">
        <f t="shared" si="1"/>
        <v>4.0122478515439468</v>
      </c>
      <c r="J5" s="3">
        <f t="shared" si="2"/>
        <v>-362.85494182507574</v>
      </c>
      <c r="K5" s="3">
        <f t="shared" si="3"/>
        <v>35.530718425572644</v>
      </c>
      <c r="L5" t="str">
        <f t="shared" si="4"/>
        <v/>
      </c>
      <c r="M5" t="str">
        <f>IF(ISBLANK(C5),"",COUNTIFS(C$2:C5,C5))</f>
        <v/>
      </c>
      <c r="N5" t="str">
        <f>IF(ISBLANK(C5),"",IF(B5=2,20,15)-COUNTIFS(C$2:C5,C5))</f>
        <v/>
      </c>
    </row>
    <row r="6" spans="1:14" x14ac:dyDescent="0.35">
      <c r="A6">
        <f t="shared" si="0"/>
        <v>5</v>
      </c>
      <c r="I6" s="2">
        <f t="shared" si="1"/>
        <v>2.6550128387329748</v>
      </c>
      <c r="J6" s="3">
        <f t="shared" si="2"/>
        <v>-338.2771408656734</v>
      </c>
      <c r="K6" s="3">
        <f t="shared" si="3"/>
        <v>31.521020806050693</v>
      </c>
      <c r="L6" t="str">
        <f t="shared" si="4"/>
        <v/>
      </c>
      <c r="M6" t="str">
        <f>IF(ISBLANK(C6),"",COUNTIFS(C$2:C6,C6))</f>
        <v/>
      </c>
      <c r="N6" t="str">
        <f>IF(ISBLANK(C6),"",IF(B6=2,20,15)-COUNTIFS(C$2:C6,C6))</f>
        <v/>
      </c>
    </row>
    <row r="7" spans="1:14" x14ac:dyDescent="0.35">
      <c r="A7">
        <f t="shared" si="0"/>
        <v>6</v>
      </c>
      <c r="I7" s="2">
        <f t="shared" si="1"/>
        <v>3.3762387950046553</v>
      </c>
      <c r="J7" s="3">
        <f t="shared" si="2"/>
        <v>-365.66086413333733</v>
      </c>
      <c r="K7" s="3">
        <f t="shared" si="3"/>
        <v>36.171577224373124</v>
      </c>
      <c r="L7" t="str">
        <f t="shared" si="4"/>
        <v/>
      </c>
      <c r="M7" t="str">
        <f>IF(ISBLANK(C7),"",COUNTIFS(C$2:C7,C7))</f>
        <v/>
      </c>
      <c r="N7" t="str">
        <f>IF(ISBLANK(C7),"",IF(B7=2,20,15)-COUNTIFS(C$2:C7,C7))</f>
        <v/>
      </c>
    </row>
    <row r="8" spans="1:14" x14ac:dyDescent="0.35">
      <c r="A8">
        <f t="shared" si="0"/>
        <v>7</v>
      </c>
      <c r="I8" s="2">
        <f t="shared" si="1"/>
        <v>4.0974647512763358</v>
      </c>
      <c r="J8" s="3">
        <f t="shared" si="2"/>
        <v>-341.08306317393499</v>
      </c>
      <c r="K8" s="3">
        <f t="shared" si="3"/>
        <v>32.161879604851173</v>
      </c>
      <c r="L8" t="str">
        <f t="shared" si="4"/>
        <v/>
      </c>
      <c r="M8" t="str">
        <f>IF(ISBLANK(C8),"",COUNTIFS(C$2:C8,C8))</f>
        <v/>
      </c>
      <c r="N8" t="str">
        <f>IF(ISBLANK(C8),"",IF(B8=2,20,15)-COUNTIFS(C$2:C8,C8))</f>
        <v/>
      </c>
    </row>
    <row r="9" spans="1:14" x14ac:dyDescent="0.35">
      <c r="A9">
        <f t="shared" si="0"/>
        <v>8</v>
      </c>
      <c r="I9" s="2">
        <f t="shared" si="1"/>
        <v>2.7402297384653638</v>
      </c>
      <c r="J9" s="3">
        <f t="shared" si="2"/>
        <v>-368.46678644159891</v>
      </c>
      <c r="K9" s="3">
        <f t="shared" si="3"/>
        <v>36.812436023173611</v>
      </c>
      <c r="L9" t="str">
        <f t="shared" si="4"/>
        <v/>
      </c>
      <c r="M9" t="str">
        <f>IF(ISBLANK(C9),"",COUNTIFS(C$2:C9,C9))</f>
        <v/>
      </c>
      <c r="N9" t="str">
        <f>IF(ISBLANK(C9),"",IF(B9=2,20,15)-COUNTIFS(C$2:C9,C9))</f>
        <v/>
      </c>
    </row>
    <row r="10" spans="1:14" x14ac:dyDescent="0.35">
      <c r="A10">
        <f t="shared" si="0"/>
        <v>9</v>
      </c>
      <c r="I10" s="2">
        <f t="shared" si="1"/>
        <v>3.4614556947370443</v>
      </c>
      <c r="J10" s="3">
        <f t="shared" si="2"/>
        <v>-343.88898548219657</v>
      </c>
      <c r="K10" s="3">
        <f t="shared" si="3"/>
        <v>32.802738403651659</v>
      </c>
      <c r="L10" t="str">
        <f t="shared" si="4"/>
        <v/>
      </c>
      <c r="M10" t="str">
        <f>IF(ISBLANK(C10),"",COUNTIFS(C$2:C10,C10))</f>
        <v/>
      </c>
      <c r="N10" t="str">
        <f>IF(ISBLANK(C10),"",IF(B10=2,20,15)-COUNTIFS(C$2:C10,C10))</f>
        <v/>
      </c>
    </row>
    <row r="11" spans="1:14" x14ac:dyDescent="0.35">
      <c r="A11">
        <f t="shared" si="0"/>
        <v>10</v>
      </c>
      <c r="I11" s="2">
        <f t="shared" si="1"/>
        <v>4.1826816510087248</v>
      </c>
      <c r="J11" s="3">
        <f t="shared" si="2"/>
        <v>-371.2727087498605</v>
      </c>
      <c r="K11" s="3">
        <f t="shared" si="3"/>
        <v>37.453294821974097</v>
      </c>
      <c r="L11" t="str">
        <f t="shared" si="4"/>
        <v/>
      </c>
      <c r="M11" t="str">
        <f>IF(ISBLANK(C11),"",COUNTIFS(C$2:C11,C11))</f>
        <v/>
      </c>
      <c r="N11" t="str">
        <f>IF(ISBLANK(C11),"",IF(B11=2,20,15)-COUNTIFS(C$2:C11,C11))</f>
        <v/>
      </c>
    </row>
    <row r="12" spans="1:14" x14ac:dyDescent="0.35">
      <c r="A12">
        <f t="shared" si="0"/>
        <v>11</v>
      </c>
      <c r="I12" s="2">
        <f t="shared" si="1"/>
        <v>2.8254466381977528</v>
      </c>
      <c r="J12" s="3">
        <f t="shared" si="2"/>
        <v>-346.69490779045816</v>
      </c>
      <c r="K12" s="3">
        <f t="shared" si="3"/>
        <v>33.443597202452146</v>
      </c>
      <c r="L12" t="str">
        <f t="shared" si="4"/>
        <v/>
      </c>
      <c r="M12" t="str">
        <f>IF(ISBLANK(C12),"",COUNTIFS(C$2:C12,C12))</f>
        <v/>
      </c>
      <c r="N12" t="str">
        <f>IF(ISBLANK(C12),"",IF(B12=2,20,15)-COUNTIFS(C$2:C12,C12))</f>
        <v/>
      </c>
    </row>
    <row r="13" spans="1:14" x14ac:dyDescent="0.35">
      <c r="A13">
        <f t="shared" si="0"/>
        <v>12</v>
      </c>
      <c r="I13" s="2">
        <f t="shared" si="1"/>
        <v>3.5466725944694328</v>
      </c>
      <c r="J13" s="3">
        <f t="shared" si="2"/>
        <v>-374.07863105812208</v>
      </c>
      <c r="K13" s="3">
        <f t="shared" si="3"/>
        <v>38.094153620774577</v>
      </c>
      <c r="L13" t="str">
        <f t="shared" si="4"/>
        <v/>
      </c>
      <c r="M13" t="str">
        <f>IF(ISBLANK(C13),"",COUNTIFS(C$2:C13,C13))</f>
        <v/>
      </c>
      <c r="N13" t="str">
        <f>IF(ISBLANK(C13),"",IF(B13=2,20,15)-COUNTIFS(C$2:C13,C13))</f>
        <v/>
      </c>
    </row>
    <row r="14" spans="1:14" x14ac:dyDescent="0.35">
      <c r="A14">
        <f t="shared" si="0"/>
        <v>13</v>
      </c>
      <c r="I14" s="2">
        <f t="shared" si="1"/>
        <v>4.2678985507411138</v>
      </c>
      <c r="J14" s="3">
        <f t="shared" si="2"/>
        <v>-349.50083009871969</v>
      </c>
      <c r="K14" s="3">
        <f t="shared" si="3"/>
        <v>34.084456001252633</v>
      </c>
      <c r="L14" t="str">
        <f t="shared" si="4"/>
        <v/>
      </c>
      <c r="M14" t="str">
        <f>IF(ISBLANK(C14),"",COUNTIFS(C$2:C14,C14))</f>
        <v/>
      </c>
      <c r="N14" t="str">
        <f>IF(ISBLANK(C14),"",IF(B14=2,20,15)-COUNTIFS(C$2:C14,C14))</f>
        <v/>
      </c>
    </row>
    <row r="15" spans="1:14" x14ac:dyDescent="0.35">
      <c r="A15">
        <f t="shared" si="0"/>
        <v>14</v>
      </c>
      <c r="I15" s="2">
        <f t="shared" si="1"/>
        <v>2.9106635379301409</v>
      </c>
      <c r="J15" s="3">
        <f t="shared" si="2"/>
        <v>-376.88455336638367</v>
      </c>
      <c r="K15" s="3">
        <f t="shared" si="3"/>
        <v>30.074758381730678</v>
      </c>
      <c r="L15" t="str">
        <f t="shared" si="4"/>
        <v/>
      </c>
      <c r="M15" t="str">
        <f>IF(ISBLANK(C15),"",COUNTIFS(C$2:C15,C15))</f>
        <v/>
      </c>
      <c r="N15" t="str">
        <f>IF(ISBLANK(C15),"",IF(B15=2,20,15)-COUNTIFS(C$2:C15,C15))</f>
        <v/>
      </c>
    </row>
    <row r="16" spans="1:14" x14ac:dyDescent="0.35">
      <c r="A16">
        <f t="shared" si="0"/>
        <v>15</v>
      </c>
      <c r="I16" s="2">
        <f t="shared" si="1"/>
        <v>3.6318894942018218</v>
      </c>
      <c r="J16" s="3">
        <f t="shared" si="2"/>
        <v>-352.30675240698127</v>
      </c>
      <c r="K16" s="3">
        <f t="shared" si="3"/>
        <v>34.725314800053113</v>
      </c>
      <c r="L16" t="str">
        <f t="shared" si="4"/>
        <v/>
      </c>
      <c r="M16" t="str">
        <f>IF(ISBLANK(C16),"",COUNTIFS(C$2:C16,C16))</f>
        <v/>
      </c>
      <c r="N16" t="str">
        <f>IF(ISBLANK(C16),"",IF(B16=2,20,15)-COUNTIFS(C$2:C16,C16))</f>
        <v/>
      </c>
    </row>
    <row r="17" spans="1:14" x14ac:dyDescent="0.35">
      <c r="A17">
        <f t="shared" si="0"/>
        <v>16</v>
      </c>
      <c r="I17" s="2">
        <f t="shared" si="1"/>
        <v>4.3531154504735019</v>
      </c>
      <c r="J17" s="3">
        <f t="shared" si="2"/>
        <v>-379.69047567464526</v>
      </c>
      <c r="K17" s="3">
        <f t="shared" si="3"/>
        <v>30.715617180531162</v>
      </c>
      <c r="L17" t="str">
        <f t="shared" si="4"/>
        <v/>
      </c>
      <c r="M17" t="str">
        <f>IF(ISBLANK(C17),"",COUNTIFS(C$2:C17,C17))</f>
        <v/>
      </c>
      <c r="N17" t="str">
        <f>IF(ISBLANK(C17),"",IF(B17=2,20,15)-COUNTIFS(C$2:C17,C17))</f>
        <v/>
      </c>
    </row>
    <row r="18" spans="1:14" x14ac:dyDescent="0.35">
      <c r="A18">
        <f t="shared" si="0"/>
        <v>17</v>
      </c>
      <c r="I18" s="2">
        <f t="shared" si="1"/>
        <v>2.9958804376625299</v>
      </c>
      <c r="J18" s="3">
        <f t="shared" si="2"/>
        <v>-355.11267471524286</v>
      </c>
      <c r="K18" s="3">
        <f t="shared" si="3"/>
        <v>35.366173598853599</v>
      </c>
      <c r="L18" t="str">
        <f t="shared" si="4"/>
        <v/>
      </c>
      <c r="M18" t="str">
        <f>IF(ISBLANK(C18),"",COUNTIFS(C$2:C18,C18))</f>
        <v/>
      </c>
      <c r="N18" t="str">
        <f>IF(ISBLANK(C18),"",IF(B18=2,20,15)-COUNTIFS(C$2:C18,C18))</f>
        <v/>
      </c>
    </row>
    <row r="19" spans="1:14" x14ac:dyDescent="0.35">
      <c r="A19">
        <f t="shared" si="0"/>
        <v>18</v>
      </c>
      <c r="I19" s="2">
        <f t="shared" si="1"/>
        <v>3.7171063939342104</v>
      </c>
      <c r="J19" s="3">
        <f t="shared" si="2"/>
        <v>-330.53487375584052</v>
      </c>
      <c r="K19" s="3">
        <f t="shared" si="3"/>
        <v>31.356475979331648</v>
      </c>
      <c r="L19" t="str">
        <f t="shared" si="4"/>
        <v/>
      </c>
      <c r="M19" t="str">
        <f>IF(ISBLANK(C19),"",COUNTIFS(C$2:C19,C19))</f>
        <v/>
      </c>
      <c r="N19" t="str">
        <f>IF(ISBLANK(C19),"",IF(B19=2,20,15)-COUNTIFS(C$2:C19,C19))</f>
        <v/>
      </c>
    </row>
    <row r="20" spans="1:14" x14ac:dyDescent="0.35">
      <c r="A20">
        <f t="shared" si="0"/>
        <v>19</v>
      </c>
      <c r="I20" s="2">
        <f t="shared" si="1"/>
        <v>4.4383323502058909</v>
      </c>
      <c r="J20" s="3">
        <f t="shared" si="2"/>
        <v>-357.91859702350445</v>
      </c>
      <c r="K20" s="3">
        <f t="shared" si="3"/>
        <v>36.007032397654086</v>
      </c>
      <c r="L20" t="str">
        <f t="shared" si="4"/>
        <v/>
      </c>
      <c r="M20" t="str">
        <f>IF(ISBLANK(C20),"",COUNTIFS(C$2:C20,C20))</f>
        <v/>
      </c>
      <c r="N20" t="str">
        <f>IF(ISBLANK(C20),"",IF(B20=2,20,15)-COUNTIFS(C$2:C20,C20))</f>
        <v/>
      </c>
    </row>
    <row r="21" spans="1:14" x14ac:dyDescent="0.35">
      <c r="A21">
        <f t="shared" si="0"/>
        <v>20</v>
      </c>
      <c r="I21" s="2">
        <f t="shared" si="1"/>
        <v>3.0810973373949189</v>
      </c>
      <c r="J21" s="3">
        <f t="shared" si="2"/>
        <v>-333.34079606410211</v>
      </c>
      <c r="K21" s="3">
        <f t="shared" si="3"/>
        <v>31.997334778132132</v>
      </c>
      <c r="L21" t="str">
        <f t="shared" si="4"/>
        <v/>
      </c>
      <c r="M21" t="str">
        <f>IF(ISBLANK(C21),"",COUNTIFS(C$2:C21,C21))</f>
        <v/>
      </c>
      <c r="N21" t="str">
        <f>IF(ISBLANK(C21),"",IF(B21=2,20,15)-COUNTIFS(C$2:C21,C21))</f>
        <v/>
      </c>
    </row>
    <row r="22" spans="1:14" x14ac:dyDescent="0.35">
      <c r="A22">
        <f t="shared" si="0"/>
        <v>21</v>
      </c>
      <c r="I22" s="2">
        <f t="shared" si="1"/>
        <v>3.8023232936665989</v>
      </c>
      <c r="J22" s="3">
        <f t="shared" si="2"/>
        <v>-360.72451933176603</v>
      </c>
      <c r="K22" s="3">
        <f t="shared" si="3"/>
        <v>36.647891196454566</v>
      </c>
      <c r="L22" t="str">
        <f t="shared" si="4"/>
        <v/>
      </c>
      <c r="M22" t="str">
        <f>IF(ISBLANK(C22),"",COUNTIFS(C$2:C22,C22))</f>
        <v/>
      </c>
      <c r="N22" t="str">
        <f>IF(ISBLANK(C22),"",IF(B22=2,20,15)-COUNTIFS(C$2:C22,C22))</f>
        <v/>
      </c>
    </row>
    <row r="23" spans="1:14" x14ac:dyDescent="0.35">
      <c r="A23">
        <f t="shared" si="0"/>
        <v>22</v>
      </c>
      <c r="I23" s="2">
        <f t="shared" si="1"/>
        <v>4.5235492499382799</v>
      </c>
      <c r="J23" s="3">
        <f t="shared" si="2"/>
        <v>-336.14671837236369</v>
      </c>
      <c r="K23" s="3">
        <f t="shared" si="3"/>
        <v>32.638193576932615</v>
      </c>
      <c r="L23" t="str">
        <f t="shared" si="4"/>
        <v/>
      </c>
      <c r="M23" t="str">
        <f>IF(ISBLANK(C23),"",COUNTIFS(C$2:C23,C23))</f>
        <v/>
      </c>
      <c r="N23" t="str">
        <f>IF(ISBLANK(C23),"",IF(B23=2,20,15)-COUNTIFS(C$2:C23,C23))</f>
        <v/>
      </c>
    </row>
    <row r="24" spans="1:14" x14ac:dyDescent="0.35">
      <c r="A24">
        <f t="shared" si="0"/>
        <v>23</v>
      </c>
      <c r="I24" s="2">
        <f t="shared" si="1"/>
        <v>3.1663142371273074</v>
      </c>
      <c r="J24" s="3">
        <f t="shared" si="2"/>
        <v>-363.53044164002762</v>
      </c>
      <c r="K24" s="3">
        <f t="shared" si="3"/>
        <v>37.288749995255053</v>
      </c>
      <c r="L24" t="str">
        <f t="shared" si="4"/>
        <v/>
      </c>
      <c r="M24" t="str">
        <f>IF(ISBLANK(C24),"",COUNTIFS(C$2:C24,C24))</f>
        <v/>
      </c>
      <c r="N24" t="str">
        <f>IF(ISBLANK(C24),"",IF(B24=2,20,15)-COUNTIFS(C$2:C24,C24))</f>
        <v/>
      </c>
    </row>
    <row r="25" spans="1:14" x14ac:dyDescent="0.35">
      <c r="A25">
        <f t="shared" si="0"/>
        <v>24</v>
      </c>
      <c r="I25" s="2">
        <f t="shared" si="1"/>
        <v>3.8875401933989879</v>
      </c>
      <c r="J25" s="3">
        <f t="shared" si="2"/>
        <v>-338.95264068062528</v>
      </c>
      <c r="K25" s="3">
        <f t="shared" si="3"/>
        <v>33.279052375733102</v>
      </c>
      <c r="L25" t="str">
        <f t="shared" si="4"/>
        <v/>
      </c>
      <c r="M25" t="str">
        <f>IF(ISBLANK(C25),"",COUNTIFS(C$2:C25,C25))</f>
        <v/>
      </c>
      <c r="N25" t="str">
        <f>IF(ISBLANK(C25),"",IF(B25=2,20,15)-COUNTIFS(C$2:C25,C25))</f>
        <v/>
      </c>
    </row>
    <row r="26" spans="1:14" x14ac:dyDescent="0.35">
      <c r="A26">
        <f t="shared" si="0"/>
        <v>25</v>
      </c>
      <c r="I26" s="2">
        <f t="shared" si="1"/>
        <v>2.5303051805880159</v>
      </c>
      <c r="J26" s="3">
        <f t="shared" si="2"/>
        <v>-366.3363639482892</v>
      </c>
      <c r="K26" s="3">
        <f t="shared" si="3"/>
        <v>37.92960879405554</v>
      </c>
      <c r="L26" t="str">
        <f t="shared" si="4"/>
        <v/>
      </c>
      <c r="M26" t="str">
        <f>IF(ISBLANK(C26),"",COUNTIFS(C$2:C26,C26))</f>
        <v/>
      </c>
      <c r="N26" t="str">
        <f>IF(ISBLANK(C26),"",IF(B26=2,20,15)-COUNTIFS(C$2:C26,C26))</f>
        <v/>
      </c>
    </row>
    <row r="27" spans="1:14" x14ac:dyDescent="0.35">
      <c r="A27">
        <f t="shared" si="0"/>
        <v>26</v>
      </c>
      <c r="I27" s="2">
        <f t="shared" si="1"/>
        <v>3.251531136859696</v>
      </c>
      <c r="J27" s="3">
        <f t="shared" si="2"/>
        <v>-341.75856298888681</v>
      </c>
      <c r="K27" s="3">
        <f t="shared" si="3"/>
        <v>33.919911174533588</v>
      </c>
      <c r="L27" t="str">
        <f t="shared" si="4"/>
        <v/>
      </c>
      <c r="M27" t="str">
        <f>IF(ISBLANK(C27),"",COUNTIFS(C$2:C27,C27))</f>
        <v/>
      </c>
      <c r="N27" t="str">
        <f>IF(ISBLANK(C27),"",IF(B27=2,20,15)-COUNTIFS(C$2:C27,C27))</f>
        <v/>
      </c>
    </row>
    <row r="28" spans="1:14" x14ac:dyDescent="0.35">
      <c r="A28">
        <f t="shared" si="0"/>
        <v>27</v>
      </c>
      <c r="I28" s="2">
        <f t="shared" si="1"/>
        <v>3.9727570931313765</v>
      </c>
      <c r="J28" s="3">
        <f t="shared" si="2"/>
        <v>-369.14228625655079</v>
      </c>
      <c r="K28" s="3">
        <f t="shared" si="3"/>
        <v>29.910213555011634</v>
      </c>
      <c r="L28" t="str">
        <f t="shared" si="4"/>
        <v/>
      </c>
      <c r="M28" t="str">
        <f>IF(ISBLANK(C28),"",COUNTIFS(C$2:C28,C28))</f>
        <v/>
      </c>
      <c r="N28" t="str">
        <f>IF(ISBLANK(C28),"",IF(B28=2,20,15)-COUNTIFS(C$2:C28,C28))</f>
        <v/>
      </c>
    </row>
    <row r="29" spans="1:14" x14ac:dyDescent="0.35">
      <c r="A29">
        <f t="shared" si="0"/>
        <v>28</v>
      </c>
      <c r="I29" s="2">
        <f t="shared" si="1"/>
        <v>2.6155220803204045</v>
      </c>
      <c r="J29" s="3">
        <f t="shared" si="2"/>
        <v>-344.56448529714839</v>
      </c>
      <c r="K29" s="3">
        <f t="shared" si="3"/>
        <v>34.560769973334068</v>
      </c>
      <c r="L29" t="str">
        <f t="shared" si="4"/>
        <v/>
      </c>
      <c r="M29" t="str">
        <f>IF(ISBLANK(C29),"",COUNTIFS(C$2:C29,C29))</f>
        <v/>
      </c>
      <c r="N29" t="str">
        <f>IF(ISBLANK(C29),"",IF(B29=2,20,15)-COUNTIFS(C$2:C29,C29))</f>
        <v/>
      </c>
    </row>
    <row r="30" spans="1:14" x14ac:dyDescent="0.35">
      <c r="A30">
        <f t="shared" si="0"/>
        <v>29</v>
      </c>
      <c r="I30" s="2">
        <f t="shared" si="1"/>
        <v>3.336748036592085</v>
      </c>
      <c r="J30" s="3">
        <f t="shared" si="2"/>
        <v>-371.94820856481238</v>
      </c>
      <c r="K30" s="3">
        <f t="shared" si="3"/>
        <v>30.55107235381212</v>
      </c>
      <c r="L30" t="str">
        <f t="shared" si="4"/>
        <v/>
      </c>
      <c r="M30" t="str">
        <f>IF(ISBLANK(C30),"",COUNTIFS(C$2:C30,C30))</f>
        <v/>
      </c>
      <c r="N30" t="str">
        <f>IF(ISBLANK(C30),"",IF(B30=2,20,15)-COUNTIFS(C$2:C30,C30))</f>
        <v/>
      </c>
    </row>
    <row r="31" spans="1:14" x14ac:dyDescent="0.35">
      <c r="A31">
        <f t="shared" si="0"/>
        <v>30</v>
      </c>
      <c r="I31" s="2">
        <f t="shared" si="1"/>
        <v>4.057973992863765</v>
      </c>
      <c r="J31" s="3">
        <f t="shared" si="2"/>
        <v>-347.37040760540998</v>
      </c>
      <c r="K31" s="3">
        <f t="shared" si="3"/>
        <v>35.201628772134555</v>
      </c>
      <c r="L31" t="str">
        <f t="shared" si="4"/>
        <v/>
      </c>
      <c r="M31" t="str">
        <f>IF(ISBLANK(C31),"",COUNTIFS(C$2:C31,C31))</f>
        <v/>
      </c>
      <c r="N31" t="str">
        <f>IF(ISBLANK(C31),"",IF(B31=2,20,15)-COUNTIFS(C$2:C31,C31))</f>
        <v/>
      </c>
    </row>
    <row r="32" spans="1:14" x14ac:dyDescent="0.35">
      <c r="A32">
        <f t="shared" si="0"/>
        <v>31</v>
      </c>
      <c r="I32" s="2">
        <f t="shared" si="1"/>
        <v>2.700738980052793</v>
      </c>
      <c r="J32" s="3">
        <f t="shared" si="2"/>
        <v>-374.75413087307396</v>
      </c>
      <c r="K32" s="3">
        <f t="shared" si="3"/>
        <v>31.191931152612604</v>
      </c>
      <c r="L32" t="str">
        <f t="shared" si="4"/>
        <v/>
      </c>
      <c r="M32" t="str">
        <f>IF(ISBLANK(C32),"",COUNTIFS(C$2:C32,C32))</f>
        <v/>
      </c>
      <c r="N32" t="str">
        <f>IF(ISBLANK(C32),"",IF(B32=2,20,15)-COUNTIFS(C$2:C32,C32))</f>
        <v/>
      </c>
    </row>
    <row r="33" spans="1:14" x14ac:dyDescent="0.35">
      <c r="A33">
        <f t="shared" si="0"/>
        <v>32</v>
      </c>
      <c r="I33" s="2">
        <f t="shared" si="1"/>
        <v>3.421964936324474</v>
      </c>
      <c r="J33" s="3">
        <f t="shared" si="2"/>
        <v>-350.17632991367157</v>
      </c>
      <c r="K33" s="3">
        <f t="shared" si="3"/>
        <v>35.842487570935042</v>
      </c>
      <c r="L33" t="str">
        <f t="shared" si="4"/>
        <v/>
      </c>
      <c r="M33" t="str">
        <f>IF(ISBLANK(C33),"",COUNTIFS(C$2:C33,C33))</f>
        <v/>
      </c>
      <c r="N33" t="str">
        <f>IF(ISBLANK(C33),"",IF(B33=2,20,15)-COUNTIFS(C$2:C33,C33))</f>
        <v/>
      </c>
    </row>
    <row r="34" spans="1:14" x14ac:dyDescent="0.35">
      <c r="A34">
        <f t="shared" ref="A34:A65" si="5">ROW()-1</f>
        <v>33</v>
      </c>
      <c r="I34" s="2">
        <f t="shared" ref="I34:I65" si="6">IF(L34&lt;&gt;"","",8+0.1*(((D34)-12.5)/7.5)+3*(((E34)-20)/20)+2*(((F34)-2.25)/1.75)+(-0.2)*(((G34)-12.5)/12.5)+0.2*(((H34)-130)/30)+1.5*(((E34)-20)/20)*(((F34)-2.25)/1.75)+((MOD(ROW()*12347,1000)/1000-0.5)*2*0.6*SQRT(3)))</f>
        <v>4.143190892596154</v>
      </c>
      <c r="J34" s="3">
        <f t="shared" ref="J34:J65" si="7">IF(L34&lt;&gt;"","",380+3*(((D34)-12.5)/7.5)+8*(((H34)-130)/30)+(-100)*((((E34)-20)/20)-(-0.5))^2+(-150)*((((F34)-2.25)/1.75)-(0.5))^2+(-80)*((((G34)-12.5)/12.5)-(0.5))^2+(-10)*(((E34)-20)/20)*(((F34)-2.25)/1.75)+((MOD(ROW()*23473,1000)/1000-0.5)*2*15*SQRT(3)))</f>
        <v>-377.56005318133555</v>
      </c>
      <c r="K34" s="3">
        <f t="shared" ref="K34:K65" si="8">IF(L34&lt;&gt;"","",55+0.5*(((D34)-12.5)/7.5)+12*(((E34)-20)/20)+5*(((F34)-2.25)/1.75)+(-3)*(((G34)-12.5)/12.5)+2*(((H34)-130)/30)+3*(((E34)-20)/20)*(((F34)-2.25)/1.75)+((MOD(ROW()*34537,1000)/1000-0.5)*2*2.5*SQRT(3)))</f>
        <v>31.832789951413091</v>
      </c>
      <c r="L34" t="str">
        <f t="shared" ref="L34:L65" si="9">IF(OR(ISBLANK(D34),ISBLANK(E34),ISBLANK(F34),ISBLANK(G34),ISBLANK(H34)),"",IF(D34&gt;20,"latex &gt; 20% — mixture unstable",IF(OR(D34&lt;5,E34&lt;0,E34&gt;40,F34&lt;0.5,F34&gt;4,G34&lt;0,G34&gt;25,H34&lt;100,H34&gt;160),"out of range","")))</f>
        <v/>
      </c>
      <c r="M34" t="str">
        <f>IF(ISBLANK(C34),"",COUNTIFS(C$2:C34,C34))</f>
        <v/>
      </c>
      <c r="N34" t="str">
        <f>IF(ISBLANK(C34),"",IF(B34=2,20,15)-COUNTIFS(C$2:C34,C34))</f>
        <v/>
      </c>
    </row>
    <row r="35" spans="1:14" x14ac:dyDescent="0.35">
      <c r="A35">
        <f t="shared" si="5"/>
        <v>34</v>
      </c>
      <c r="I35" s="2">
        <f t="shared" si="6"/>
        <v>2.785955879785182</v>
      </c>
      <c r="J35" s="3">
        <f t="shared" si="7"/>
        <v>-352.98225222193315</v>
      </c>
      <c r="K35" s="3">
        <f t="shared" si="8"/>
        <v>36.483346369735521</v>
      </c>
      <c r="L35" t="str">
        <f t="shared" si="9"/>
        <v/>
      </c>
      <c r="M35" t="str">
        <f>IF(ISBLANK(C35),"",COUNTIFS(C$2:C35,C35))</f>
        <v/>
      </c>
      <c r="N35" t="str">
        <f>IF(ISBLANK(C35),"",IF(B35=2,20,15)-COUNTIFS(C$2:C35,C35))</f>
        <v/>
      </c>
    </row>
    <row r="36" spans="1:14" x14ac:dyDescent="0.35">
      <c r="A36">
        <f t="shared" si="5"/>
        <v>35</v>
      </c>
      <c r="I36" s="2">
        <f t="shared" si="6"/>
        <v>3.5071818360568625</v>
      </c>
      <c r="J36" s="3">
        <f t="shared" si="7"/>
        <v>-380.36597548959708</v>
      </c>
      <c r="K36" s="3">
        <f t="shared" si="8"/>
        <v>32.473648750213577</v>
      </c>
      <c r="L36" t="str">
        <f t="shared" si="9"/>
        <v/>
      </c>
      <c r="M36" t="str">
        <f>IF(ISBLANK(C36),"",COUNTIFS(C$2:C36,C36))</f>
        <v/>
      </c>
      <c r="N36" t="str">
        <f>IF(ISBLANK(C36),"",IF(B36=2,20,15)-COUNTIFS(C$2:C36,C36))</f>
        <v/>
      </c>
    </row>
    <row r="37" spans="1:14" x14ac:dyDescent="0.35">
      <c r="A37">
        <f t="shared" si="5"/>
        <v>36</v>
      </c>
      <c r="I37" s="2">
        <f t="shared" si="6"/>
        <v>4.228407792328543</v>
      </c>
      <c r="J37" s="3">
        <f t="shared" si="7"/>
        <v>-355.78817453019474</v>
      </c>
      <c r="K37" s="3">
        <f t="shared" si="8"/>
        <v>37.124205168536008</v>
      </c>
      <c r="L37" t="str">
        <f t="shared" si="9"/>
        <v/>
      </c>
      <c r="M37" t="str">
        <f>IF(ISBLANK(C37),"",COUNTIFS(C$2:C37,C37))</f>
        <v/>
      </c>
      <c r="N37" t="str">
        <f>IF(ISBLANK(C37),"",IF(B37=2,20,15)-COUNTIFS(C$2:C37,C37))</f>
        <v/>
      </c>
    </row>
    <row r="38" spans="1:14" x14ac:dyDescent="0.35">
      <c r="A38">
        <f t="shared" si="5"/>
        <v>37</v>
      </c>
      <c r="I38" s="2">
        <f t="shared" si="6"/>
        <v>2.871172779517571</v>
      </c>
      <c r="J38" s="3">
        <f t="shared" si="7"/>
        <v>-331.2103735707924</v>
      </c>
      <c r="K38" s="3">
        <f t="shared" si="8"/>
        <v>33.114507549014057</v>
      </c>
      <c r="L38" t="str">
        <f t="shared" si="9"/>
        <v/>
      </c>
      <c r="M38" t="str">
        <f>IF(ISBLANK(C38),"",COUNTIFS(C$2:C38,C38))</f>
        <v/>
      </c>
      <c r="N38" t="str">
        <f>IF(ISBLANK(C38),"",IF(B38=2,20,15)-COUNTIFS(C$2:C38,C38))</f>
        <v/>
      </c>
    </row>
    <row r="39" spans="1:14" x14ac:dyDescent="0.35">
      <c r="A39">
        <f t="shared" si="5"/>
        <v>38</v>
      </c>
      <c r="I39" s="2">
        <f t="shared" si="6"/>
        <v>3.5923987357892515</v>
      </c>
      <c r="J39" s="3">
        <f t="shared" si="7"/>
        <v>-358.59409683845632</v>
      </c>
      <c r="K39" s="3">
        <f t="shared" si="8"/>
        <v>37.765063967336495</v>
      </c>
      <c r="L39" t="str">
        <f t="shared" si="9"/>
        <v/>
      </c>
      <c r="M39" t="str">
        <f>IF(ISBLANK(C39),"",COUNTIFS(C$2:C39,C39))</f>
        <v/>
      </c>
      <c r="N39" t="str">
        <f>IF(ISBLANK(C39),"",IF(B39=2,20,15)-COUNTIFS(C$2:C39,C39))</f>
        <v/>
      </c>
    </row>
    <row r="40" spans="1:14" x14ac:dyDescent="0.35">
      <c r="A40">
        <f t="shared" si="5"/>
        <v>39</v>
      </c>
      <c r="I40" s="2">
        <f t="shared" si="6"/>
        <v>4.313624692060932</v>
      </c>
      <c r="J40" s="3">
        <f t="shared" si="7"/>
        <v>-334.01629587905393</v>
      </c>
      <c r="K40" s="3">
        <f t="shared" si="8"/>
        <v>33.755366347814544</v>
      </c>
      <c r="L40" t="str">
        <f t="shared" si="9"/>
        <v/>
      </c>
      <c r="M40" t="str">
        <f>IF(ISBLANK(C40),"",COUNTIFS(C$2:C40,C40))</f>
        <v/>
      </c>
      <c r="N40" t="str">
        <f>IF(ISBLANK(C40),"",IF(B40=2,20,15)-COUNTIFS(C$2:C40,C40))</f>
        <v/>
      </c>
    </row>
    <row r="41" spans="1:14" x14ac:dyDescent="0.35">
      <c r="A41">
        <f t="shared" si="5"/>
        <v>40</v>
      </c>
      <c r="I41" s="2">
        <f t="shared" si="6"/>
        <v>2.9563896792499595</v>
      </c>
      <c r="J41" s="3">
        <f t="shared" si="7"/>
        <v>-361.40001914671791</v>
      </c>
      <c r="K41" s="3">
        <f t="shared" si="8"/>
        <v>29.745668728292593</v>
      </c>
      <c r="L41" t="str">
        <f t="shared" si="9"/>
        <v/>
      </c>
      <c r="M41" t="str">
        <f>IF(ISBLANK(C41),"",COUNTIFS(C$2:C41,C41))</f>
        <v/>
      </c>
      <c r="N41" t="str">
        <f>IF(ISBLANK(C41),"",IF(B41=2,20,15)-COUNTIFS(C$2:C41,C41))</f>
        <v/>
      </c>
    </row>
    <row r="42" spans="1:14" x14ac:dyDescent="0.35">
      <c r="A42">
        <f t="shared" si="5"/>
        <v>41</v>
      </c>
      <c r="I42" s="2">
        <f t="shared" si="6"/>
        <v>3.6776156355216401</v>
      </c>
      <c r="J42" s="3">
        <f t="shared" si="7"/>
        <v>-336.82221818731551</v>
      </c>
      <c r="K42" s="3">
        <f t="shared" si="8"/>
        <v>34.396225146615031</v>
      </c>
      <c r="L42" t="str">
        <f t="shared" si="9"/>
        <v/>
      </c>
      <c r="M42" t="str">
        <f>IF(ISBLANK(C42),"",COUNTIFS(C$2:C42,C42))</f>
        <v/>
      </c>
      <c r="N42" t="str">
        <f>IF(ISBLANK(C42),"",IF(B42=2,20,15)-COUNTIFS(C$2:C42,C42))</f>
        <v/>
      </c>
    </row>
    <row r="43" spans="1:14" x14ac:dyDescent="0.35">
      <c r="A43">
        <f t="shared" si="5"/>
        <v>42</v>
      </c>
      <c r="I43" s="2">
        <f t="shared" si="6"/>
        <v>4.3988415917933201</v>
      </c>
      <c r="J43" s="3">
        <f t="shared" si="7"/>
        <v>-364.2059414549795</v>
      </c>
      <c r="K43" s="3">
        <f t="shared" si="8"/>
        <v>30.386527527093076</v>
      </c>
      <c r="L43" t="str">
        <f t="shared" si="9"/>
        <v/>
      </c>
      <c r="M43" t="str">
        <f>IF(ISBLANK(C43),"",COUNTIFS(C$2:C43,C43))</f>
        <v/>
      </c>
      <c r="N43" t="str">
        <f>IF(ISBLANK(C43),"",IF(B43=2,20,15)-COUNTIFS(C$2:C43,C43))</f>
        <v/>
      </c>
    </row>
    <row r="44" spans="1:14" x14ac:dyDescent="0.35">
      <c r="A44">
        <f t="shared" si="5"/>
        <v>43</v>
      </c>
      <c r="I44" s="2">
        <f t="shared" si="6"/>
        <v>3.0416065789823485</v>
      </c>
      <c r="J44" s="3">
        <f t="shared" si="7"/>
        <v>-339.6281404955771</v>
      </c>
      <c r="K44" s="3">
        <f t="shared" si="8"/>
        <v>35.03708394541551</v>
      </c>
      <c r="L44" t="str">
        <f t="shared" si="9"/>
        <v/>
      </c>
      <c r="M44" t="str">
        <f>IF(ISBLANK(C44),"",COUNTIFS(C$2:C44,C44))</f>
        <v/>
      </c>
      <c r="N44" t="str">
        <f>IF(ISBLANK(C44),"",IF(B44=2,20,15)-COUNTIFS(C$2:C44,C44))</f>
        <v/>
      </c>
    </row>
    <row r="45" spans="1:14" x14ac:dyDescent="0.35">
      <c r="A45">
        <f t="shared" si="5"/>
        <v>44</v>
      </c>
      <c r="I45" s="2">
        <f t="shared" si="6"/>
        <v>3.7628325352540286</v>
      </c>
      <c r="J45" s="3">
        <f t="shared" si="7"/>
        <v>-367.01186376324108</v>
      </c>
      <c r="K45" s="3">
        <f t="shared" si="8"/>
        <v>31.027386325893563</v>
      </c>
      <c r="L45" t="str">
        <f t="shared" si="9"/>
        <v/>
      </c>
      <c r="M45" t="str">
        <f>IF(ISBLANK(C45),"",COUNTIFS(C$2:C45,C45))</f>
        <v/>
      </c>
      <c r="N45" t="str">
        <f>IF(ISBLANK(C45),"",IF(B45=2,20,15)-COUNTIFS(C$2:C45,C45))</f>
        <v/>
      </c>
    </row>
    <row r="46" spans="1:14" x14ac:dyDescent="0.35">
      <c r="A46">
        <f t="shared" si="5"/>
        <v>45</v>
      </c>
      <c r="I46" s="2">
        <f t="shared" si="6"/>
        <v>4.4840584915257091</v>
      </c>
      <c r="J46" s="3">
        <f t="shared" si="7"/>
        <v>-342.43406280383869</v>
      </c>
      <c r="K46" s="3">
        <f t="shared" si="8"/>
        <v>35.677942744215997</v>
      </c>
      <c r="L46" t="str">
        <f t="shared" si="9"/>
        <v/>
      </c>
      <c r="M46" t="str">
        <f>IF(ISBLANK(C46),"",COUNTIFS(C$2:C46,C46))</f>
        <v/>
      </c>
      <c r="N46" t="str">
        <f>IF(ISBLANK(C46),"",IF(B46=2,20,15)-COUNTIFS(C$2:C46,C46))</f>
        <v/>
      </c>
    </row>
    <row r="47" spans="1:14" x14ac:dyDescent="0.35">
      <c r="A47">
        <f t="shared" si="5"/>
        <v>46</v>
      </c>
      <c r="I47" s="2">
        <f t="shared" si="6"/>
        <v>3.1268234787147371</v>
      </c>
      <c r="J47" s="3">
        <f t="shared" si="7"/>
        <v>-369.81778607150267</v>
      </c>
      <c r="K47" s="3">
        <f t="shared" si="8"/>
        <v>31.668245124694046</v>
      </c>
      <c r="L47" t="str">
        <f t="shared" si="9"/>
        <v/>
      </c>
      <c r="M47" t="str">
        <f>IF(ISBLANK(C47),"",COUNTIFS(C$2:C47,C47))</f>
        <v/>
      </c>
      <c r="N47" t="str">
        <f>IF(ISBLANK(C47),"",IF(B47=2,20,15)-COUNTIFS(C$2:C47,C47))</f>
        <v/>
      </c>
    </row>
    <row r="48" spans="1:14" x14ac:dyDescent="0.35">
      <c r="A48">
        <f t="shared" si="5"/>
        <v>47</v>
      </c>
      <c r="I48" s="2">
        <f t="shared" si="6"/>
        <v>3.8480494349864176</v>
      </c>
      <c r="J48" s="3">
        <f t="shared" si="7"/>
        <v>-345.23998511210027</v>
      </c>
      <c r="K48" s="3">
        <f t="shared" si="8"/>
        <v>36.318801543016484</v>
      </c>
      <c r="L48" t="str">
        <f t="shared" si="9"/>
        <v/>
      </c>
      <c r="M48" t="str">
        <f>IF(ISBLANK(C48),"",COUNTIFS(C$2:C48,C48))</f>
        <v/>
      </c>
      <c r="N48" t="str">
        <f>IF(ISBLANK(C48),"",IF(B48=2,20,15)-COUNTIFS(C$2:C48,C48))</f>
        <v/>
      </c>
    </row>
    <row r="49" spans="1:14" x14ac:dyDescent="0.35">
      <c r="A49">
        <f t="shared" si="5"/>
        <v>48</v>
      </c>
      <c r="I49" s="2">
        <f t="shared" si="6"/>
        <v>2.4908144221754456</v>
      </c>
      <c r="J49" s="3">
        <f t="shared" si="7"/>
        <v>-372.62370837976425</v>
      </c>
      <c r="K49" s="3">
        <f t="shared" si="8"/>
        <v>32.309103923494533</v>
      </c>
      <c r="L49" t="str">
        <f t="shared" si="9"/>
        <v/>
      </c>
      <c r="M49" t="str">
        <f>IF(ISBLANK(C49),"",COUNTIFS(C$2:C49,C49))</f>
        <v/>
      </c>
      <c r="N49" t="str">
        <f>IF(ISBLANK(C49),"",IF(B49=2,20,15)-COUNTIFS(C$2:C49,C49))</f>
        <v/>
      </c>
    </row>
    <row r="50" spans="1:14" x14ac:dyDescent="0.35">
      <c r="A50">
        <f t="shared" si="5"/>
        <v>49</v>
      </c>
      <c r="I50" s="2">
        <f t="shared" si="6"/>
        <v>3.2120403784471256</v>
      </c>
      <c r="J50" s="3">
        <f t="shared" si="7"/>
        <v>-348.04590742036186</v>
      </c>
      <c r="K50" s="3">
        <f t="shared" si="8"/>
        <v>36.959660341816964</v>
      </c>
      <c r="L50" t="str">
        <f t="shared" si="9"/>
        <v/>
      </c>
      <c r="M50" t="str">
        <f>IF(ISBLANK(C50),"",COUNTIFS(C$2:C50,C50))</f>
        <v/>
      </c>
      <c r="N50" t="str">
        <f>IF(ISBLANK(C50),"",IF(B50=2,20,15)-COUNTIFS(C$2:C50,C50))</f>
        <v/>
      </c>
    </row>
    <row r="51" spans="1:14" x14ac:dyDescent="0.35">
      <c r="A51">
        <f t="shared" si="5"/>
        <v>50</v>
      </c>
      <c r="I51" s="2">
        <f t="shared" si="6"/>
        <v>3.9332663347188062</v>
      </c>
      <c r="J51" s="3">
        <f t="shared" si="7"/>
        <v>-375.42963068802578</v>
      </c>
      <c r="K51" s="3">
        <f t="shared" si="8"/>
        <v>32.949962722295012</v>
      </c>
      <c r="L51" t="str">
        <f t="shared" si="9"/>
        <v/>
      </c>
      <c r="M51" t="str">
        <f>IF(ISBLANK(C51),"",COUNTIFS(C$2:C51,C51))</f>
        <v/>
      </c>
      <c r="N51" t="str">
        <f>IF(ISBLANK(C51),"",IF(B51=2,20,15)-COUNTIFS(C$2:C51,C51))</f>
        <v/>
      </c>
    </row>
    <row r="52" spans="1:14" x14ac:dyDescent="0.35">
      <c r="A52">
        <f t="shared" si="5"/>
        <v>51</v>
      </c>
      <c r="I52" s="2">
        <f t="shared" si="6"/>
        <v>2.5760313219078341</v>
      </c>
      <c r="J52" s="3">
        <f t="shared" si="7"/>
        <v>-350.85182972862344</v>
      </c>
      <c r="K52" s="3">
        <f t="shared" si="8"/>
        <v>37.60051914061745</v>
      </c>
      <c r="L52" t="str">
        <f t="shared" si="9"/>
        <v/>
      </c>
      <c r="M52" t="str">
        <f>IF(ISBLANK(C52),"",COUNTIFS(C$2:C52,C52))</f>
        <v/>
      </c>
      <c r="N52" t="str">
        <f>IF(ISBLANK(C52),"",IF(B52=2,20,15)-COUNTIFS(C$2:C52,C52))</f>
        <v/>
      </c>
    </row>
    <row r="53" spans="1:14" x14ac:dyDescent="0.35">
      <c r="A53">
        <f t="shared" si="5"/>
        <v>52</v>
      </c>
      <c r="I53" s="2">
        <f t="shared" si="6"/>
        <v>3.2972572781795146</v>
      </c>
      <c r="J53" s="3">
        <f t="shared" si="7"/>
        <v>-378.23555299628737</v>
      </c>
      <c r="K53" s="3">
        <f t="shared" si="8"/>
        <v>33.590821521095499</v>
      </c>
      <c r="L53" t="str">
        <f t="shared" si="9"/>
        <v/>
      </c>
      <c r="M53" t="str">
        <f>IF(ISBLANK(C53),"",COUNTIFS(C$2:C53,C53))</f>
        <v/>
      </c>
      <c r="N53" t="str">
        <f>IF(ISBLANK(C53),"",IF(B53=2,20,15)-COUNTIFS(C$2:C53,C53))</f>
        <v/>
      </c>
    </row>
    <row r="54" spans="1:14" x14ac:dyDescent="0.35">
      <c r="A54">
        <f t="shared" si="5"/>
        <v>53</v>
      </c>
      <c r="I54" s="2">
        <f t="shared" si="6"/>
        <v>4.0184832344511952</v>
      </c>
      <c r="J54" s="3">
        <f t="shared" si="7"/>
        <v>-353.65775203688503</v>
      </c>
      <c r="K54" s="3">
        <f t="shared" si="8"/>
        <v>38.241377939417937</v>
      </c>
      <c r="L54" t="str">
        <f t="shared" si="9"/>
        <v/>
      </c>
      <c r="M54" t="str">
        <f>IF(ISBLANK(C54),"",COUNTIFS(C$2:C54,C54))</f>
        <v/>
      </c>
      <c r="N54" t="str">
        <f>IF(ISBLANK(C54),"",IF(B54=2,20,15)-COUNTIFS(C$2:C54,C54))</f>
        <v/>
      </c>
    </row>
    <row r="55" spans="1:14" x14ac:dyDescent="0.35">
      <c r="A55">
        <f t="shared" si="5"/>
        <v>54</v>
      </c>
      <c r="I55" s="2">
        <f t="shared" si="6"/>
        <v>2.6612482216402231</v>
      </c>
      <c r="J55" s="3">
        <f t="shared" si="7"/>
        <v>-381.04147530454895</v>
      </c>
      <c r="K55" s="3">
        <f t="shared" si="8"/>
        <v>34.231680319895986</v>
      </c>
      <c r="L55" t="str">
        <f t="shared" si="9"/>
        <v/>
      </c>
      <c r="M55" t="str">
        <f>IF(ISBLANK(C55),"",COUNTIFS(C$2:C55,C55))</f>
        <v/>
      </c>
      <c r="N55" t="str">
        <f>IF(ISBLANK(C55),"",IF(B55=2,20,15)-COUNTIFS(C$2:C55,C55))</f>
        <v/>
      </c>
    </row>
    <row r="56" spans="1:14" x14ac:dyDescent="0.35">
      <c r="A56">
        <f t="shared" si="5"/>
        <v>55</v>
      </c>
      <c r="I56" s="2">
        <f t="shared" si="6"/>
        <v>3.3824741779119032</v>
      </c>
      <c r="J56" s="3">
        <f t="shared" si="7"/>
        <v>-356.46367434514661</v>
      </c>
      <c r="K56" s="3">
        <f t="shared" si="8"/>
        <v>30.221982700374035</v>
      </c>
      <c r="L56" t="str">
        <f t="shared" si="9"/>
        <v/>
      </c>
      <c r="M56" t="str">
        <f>IF(ISBLANK(C56),"",COUNTIFS(C$2:C56,C56))</f>
        <v/>
      </c>
      <c r="N56" t="str">
        <f>IF(ISBLANK(C56),"",IF(B56=2,20,15)-COUNTIFS(C$2:C56,C56))</f>
        <v/>
      </c>
    </row>
    <row r="57" spans="1:14" x14ac:dyDescent="0.35">
      <c r="A57">
        <f t="shared" si="5"/>
        <v>56</v>
      </c>
      <c r="I57" s="2">
        <f t="shared" si="6"/>
        <v>4.1037001341835841</v>
      </c>
      <c r="J57" s="3">
        <f t="shared" si="7"/>
        <v>-331.88587338574422</v>
      </c>
      <c r="K57" s="3">
        <f t="shared" si="8"/>
        <v>34.872539118696466</v>
      </c>
      <c r="L57" t="str">
        <f t="shared" si="9"/>
        <v/>
      </c>
      <c r="M57" t="str">
        <f>IF(ISBLANK(C57),"",COUNTIFS(C$2:C57,C57))</f>
        <v/>
      </c>
      <c r="N57" t="str">
        <f>IF(ISBLANK(C57),"",IF(B57=2,20,15)-COUNTIFS(C$2:C57,C57))</f>
        <v/>
      </c>
    </row>
    <row r="58" spans="1:14" x14ac:dyDescent="0.35">
      <c r="A58">
        <f t="shared" si="5"/>
        <v>57</v>
      </c>
      <c r="I58" s="2">
        <f t="shared" si="6"/>
        <v>2.7464651213726117</v>
      </c>
      <c r="J58" s="3">
        <f t="shared" si="7"/>
        <v>-359.2695966534082</v>
      </c>
      <c r="K58" s="3">
        <f t="shared" si="8"/>
        <v>30.862841499174518</v>
      </c>
      <c r="L58" t="str">
        <f t="shared" si="9"/>
        <v/>
      </c>
      <c r="M58" t="str">
        <f>IF(ISBLANK(C58),"",COUNTIFS(C$2:C58,C58))</f>
        <v/>
      </c>
      <c r="N58" t="str">
        <f>IF(ISBLANK(C58),"",IF(B58=2,20,15)-COUNTIFS(C$2:C58,C58))</f>
        <v/>
      </c>
    </row>
    <row r="59" spans="1:14" x14ac:dyDescent="0.35">
      <c r="A59">
        <f t="shared" si="5"/>
        <v>58</v>
      </c>
      <c r="I59" s="2">
        <f t="shared" si="6"/>
        <v>3.4676910776442922</v>
      </c>
      <c r="J59" s="3">
        <f t="shared" si="7"/>
        <v>-334.6917956940058</v>
      </c>
      <c r="K59" s="3">
        <f t="shared" si="8"/>
        <v>35.513397917496953</v>
      </c>
      <c r="L59" t="str">
        <f t="shared" si="9"/>
        <v/>
      </c>
      <c r="M59" t="str">
        <f>IF(ISBLANK(C59),"",COUNTIFS(C$2:C59,C59))</f>
        <v/>
      </c>
      <c r="N59" t="str">
        <f>IF(ISBLANK(C59),"",IF(B59=2,20,15)-COUNTIFS(C$2:C59,C59))</f>
        <v/>
      </c>
    </row>
    <row r="60" spans="1:14" x14ac:dyDescent="0.35">
      <c r="A60">
        <f t="shared" si="5"/>
        <v>59</v>
      </c>
      <c r="I60" s="2">
        <f t="shared" si="6"/>
        <v>4.1889170339159723</v>
      </c>
      <c r="J60" s="3">
        <f t="shared" si="7"/>
        <v>-362.07551896166979</v>
      </c>
      <c r="K60" s="3">
        <f t="shared" si="8"/>
        <v>31.503700297975001</v>
      </c>
      <c r="L60" t="str">
        <f t="shared" si="9"/>
        <v/>
      </c>
      <c r="M60" t="str">
        <f>IF(ISBLANK(C60),"",COUNTIFS(C$2:C60,C60))</f>
        <v/>
      </c>
      <c r="N60" t="str">
        <f>IF(ISBLANK(C60),"",IF(B60=2,20,15)-COUNTIFS(C$2:C60,C60))</f>
        <v/>
      </c>
    </row>
    <row r="61" spans="1:14" x14ac:dyDescent="0.35">
      <c r="A61">
        <f t="shared" si="5"/>
        <v>60</v>
      </c>
      <c r="I61" s="2">
        <f t="shared" si="6"/>
        <v>2.8316820211050002</v>
      </c>
      <c r="J61" s="3">
        <f t="shared" si="7"/>
        <v>-337.49771800226739</v>
      </c>
      <c r="K61" s="3">
        <f t="shared" si="8"/>
        <v>36.154256716297439</v>
      </c>
      <c r="L61" t="str">
        <f t="shared" si="9"/>
        <v/>
      </c>
      <c r="M61" t="str">
        <f>IF(ISBLANK(C61),"",COUNTIFS(C$2:C61,C61))</f>
        <v/>
      </c>
      <c r="N61" t="str">
        <f>IF(ISBLANK(C61),"",IF(B61=2,20,15)-COUNTIFS(C$2:C61,C61))</f>
        <v/>
      </c>
    </row>
    <row r="62" spans="1:14" x14ac:dyDescent="0.35">
      <c r="A62">
        <f t="shared" si="5"/>
        <v>61</v>
      </c>
      <c r="I62" s="2">
        <f t="shared" si="6"/>
        <v>3.5529079773766807</v>
      </c>
      <c r="J62" s="3">
        <f t="shared" si="7"/>
        <v>-364.88144126993132</v>
      </c>
      <c r="K62" s="3">
        <f t="shared" si="8"/>
        <v>32.144559096775488</v>
      </c>
      <c r="L62" t="str">
        <f t="shared" si="9"/>
        <v/>
      </c>
      <c r="M62" t="str">
        <f>IF(ISBLANK(C62),"",COUNTIFS(C$2:C62,C62))</f>
        <v/>
      </c>
      <c r="N62" t="str">
        <f>IF(ISBLANK(C62),"",IF(B62=2,20,15)-COUNTIFS(C$2:C62,C62))</f>
        <v/>
      </c>
    </row>
    <row r="63" spans="1:14" x14ac:dyDescent="0.35">
      <c r="A63">
        <f t="shared" si="5"/>
        <v>62</v>
      </c>
      <c r="I63" s="2">
        <f t="shared" si="6"/>
        <v>4.2741339336483612</v>
      </c>
      <c r="J63" s="3">
        <f t="shared" si="7"/>
        <v>-340.30364031052898</v>
      </c>
      <c r="K63" s="3">
        <f t="shared" si="8"/>
        <v>36.795115515097919</v>
      </c>
      <c r="L63" t="str">
        <f t="shared" si="9"/>
        <v/>
      </c>
      <c r="M63" t="str">
        <f>IF(ISBLANK(C63),"",COUNTIFS(C$2:C63,C63))</f>
        <v/>
      </c>
      <c r="N63" t="str">
        <f>IF(ISBLANK(C63),"",IF(B63=2,20,15)-COUNTIFS(C$2:C63,C63))</f>
        <v/>
      </c>
    </row>
    <row r="64" spans="1:14" x14ac:dyDescent="0.35">
      <c r="A64">
        <f t="shared" si="5"/>
        <v>63</v>
      </c>
      <c r="I64" s="2">
        <f t="shared" si="6"/>
        <v>2.9168989208373892</v>
      </c>
      <c r="J64" s="3">
        <f t="shared" si="7"/>
        <v>-367.6873635781929</v>
      </c>
      <c r="K64" s="3">
        <f t="shared" si="8"/>
        <v>32.785417895575975</v>
      </c>
      <c r="L64" t="str">
        <f t="shared" si="9"/>
        <v/>
      </c>
      <c r="M64" t="str">
        <f>IF(ISBLANK(C64),"",COUNTIFS(C$2:C64,C64))</f>
        <v/>
      </c>
      <c r="N64" t="str">
        <f>IF(ISBLANK(C64),"",IF(B64=2,20,15)-COUNTIFS(C$2:C64,C64))</f>
        <v/>
      </c>
    </row>
    <row r="65" spans="1:14" x14ac:dyDescent="0.35">
      <c r="A65">
        <f t="shared" si="5"/>
        <v>64</v>
      </c>
      <c r="I65" s="2">
        <f t="shared" si="6"/>
        <v>3.6381248771090697</v>
      </c>
      <c r="J65" s="3">
        <f t="shared" si="7"/>
        <v>-343.10956261879056</v>
      </c>
      <c r="K65" s="3">
        <f t="shared" si="8"/>
        <v>37.435974313898406</v>
      </c>
      <c r="L65" t="str">
        <f t="shared" si="9"/>
        <v/>
      </c>
      <c r="M65" t="str">
        <f>IF(ISBLANK(C65),"",COUNTIFS(C$2:C65,C65))</f>
        <v/>
      </c>
      <c r="N65" t="str">
        <f>IF(ISBLANK(C65),"",IF(B65=2,20,15)-COUNTIFS(C$2:C65,C65))</f>
        <v/>
      </c>
    </row>
    <row r="66" spans="1:14" x14ac:dyDescent="0.35">
      <c r="A66">
        <f t="shared" ref="A66:A97" si="10">ROW()-1</f>
        <v>65</v>
      </c>
      <c r="I66" s="2">
        <f t="shared" ref="I66:I97" si="11">IF(L66&lt;&gt;"","",8+0.1*(((D66)-12.5)/7.5)+3*(((E66)-20)/20)+2*(((F66)-2.25)/1.75)+(-0.2)*(((G66)-12.5)/12.5)+0.2*(((H66)-130)/30)+1.5*(((E66)-20)/20)*(((F66)-2.25)/1.75)+((MOD(ROW()*12347,1000)/1000-0.5)*2*0.6*SQRT(3)))</f>
        <v>4.3593508333807502</v>
      </c>
      <c r="J66" s="3">
        <f t="shared" ref="J66:J97" si="12">IF(L66&lt;&gt;"","",380+3*(((D66)-12.5)/7.5)+8*(((H66)-130)/30)+(-100)*((((E66)-20)/20)-(-0.5))^2+(-150)*((((F66)-2.25)/1.75)-(0.5))^2+(-80)*((((G66)-12.5)/12.5)-(0.5))^2+(-10)*(((E66)-20)/20)*(((F66)-2.25)/1.75)+((MOD(ROW()*23473,1000)/1000-0.5)*2*15*SQRT(3)))</f>
        <v>-370.49328588645449</v>
      </c>
      <c r="K66" s="3">
        <f t="shared" ref="K66:K97" si="13">IF(L66&lt;&gt;"","",55+0.5*(((D66)-12.5)/7.5)+12*(((E66)-20)/20)+5*(((F66)-2.25)/1.75)+(-3)*(((G66)-12.5)/12.5)+2*(((H66)-130)/30)+3*(((E66)-20)/20)*(((F66)-2.25)/1.75)+((MOD(ROW()*34537,1000)/1000-0.5)*2*2.5*SQRT(3)))</f>
        <v>33.426276694376455</v>
      </c>
      <c r="L66" t="str">
        <f t="shared" ref="L66:L97" si="14">IF(OR(ISBLANK(D66),ISBLANK(E66),ISBLANK(F66),ISBLANK(G66),ISBLANK(H66)),"",IF(D66&gt;20,"latex &gt; 20% — mixture unstable",IF(OR(D66&lt;5,E66&lt;0,E66&gt;40,F66&lt;0.5,F66&gt;4,G66&lt;0,G66&gt;25,H66&lt;100,H66&gt;160),"out of range","")))</f>
        <v/>
      </c>
      <c r="M66" t="str">
        <f>IF(ISBLANK(C66),"",COUNTIFS(C$2:C66,C66))</f>
        <v/>
      </c>
      <c r="N66" t="str">
        <f>IF(ISBLANK(C66),"",IF(B66=2,20,15)-COUNTIFS(C$2:C66,C66))</f>
        <v/>
      </c>
    </row>
    <row r="67" spans="1:14" x14ac:dyDescent="0.35">
      <c r="A67">
        <f t="shared" si="10"/>
        <v>66</v>
      </c>
      <c r="I67" s="2">
        <f t="shared" si="11"/>
        <v>3.0021158205697782</v>
      </c>
      <c r="J67" s="3">
        <f t="shared" si="12"/>
        <v>-345.91548492705215</v>
      </c>
      <c r="K67" s="3">
        <f t="shared" si="13"/>
        <v>38.076833112698893</v>
      </c>
      <c r="L67" t="str">
        <f t="shared" si="14"/>
        <v/>
      </c>
      <c r="M67" t="str">
        <f>IF(ISBLANK(C67),"",COUNTIFS(C$2:C67,C67))</f>
        <v/>
      </c>
      <c r="N67" t="str">
        <f>IF(ISBLANK(C67),"",IF(B67=2,20,15)-COUNTIFS(C$2:C67,C67))</f>
        <v/>
      </c>
    </row>
    <row r="68" spans="1:14" x14ac:dyDescent="0.35">
      <c r="A68">
        <f t="shared" si="10"/>
        <v>67</v>
      </c>
      <c r="I68" s="2">
        <f t="shared" si="11"/>
        <v>3.7233417768414583</v>
      </c>
      <c r="J68" s="3">
        <f t="shared" si="12"/>
        <v>-373.29920819471607</v>
      </c>
      <c r="K68" s="3">
        <f t="shared" si="13"/>
        <v>34.067135493176941</v>
      </c>
      <c r="L68" t="str">
        <f t="shared" si="14"/>
        <v/>
      </c>
      <c r="M68" t="str">
        <f>IF(ISBLANK(C68),"",COUNTIFS(C$2:C68,C68))</f>
        <v/>
      </c>
      <c r="N68" t="str">
        <f>IF(ISBLANK(C68),"",IF(B68=2,20,15)-COUNTIFS(C$2:C68,C68))</f>
        <v/>
      </c>
    </row>
    <row r="69" spans="1:14" x14ac:dyDescent="0.35">
      <c r="A69">
        <f t="shared" si="10"/>
        <v>68</v>
      </c>
      <c r="I69" s="2">
        <f t="shared" si="11"/>
        <v>4.4445677331131392</v>
      </c>
      <c r="J69" s="3">
        <f t="shared" si="12"/>
        <v>-348.72140723531373</v>
      </c>
      <c r="K69" s="3">
        <f t="shared" si="13"/>
        <v>30.05743787365499</v>
      </c>
      <c r="L69" t="str">
        <f t="shared" si="14"/>
        <v/>
      </c>
      <c r="M69" t="str">
        <f>IF(ISBLANK(C69),"",COUNTIFS(C$2:C69,C69))</f>
        <v/>
      </c>
      <c r="N69" t="str">
        <f>IF(ISBLANK(C69),"",IF(B69=2,20,15)-COUNTIFS(C$2:C69,C69))</f>
        <v/>
      </c>
    </row>
    <row r="70" spans="1:14" x14ac:dyDescent="0.35">
      <c r="A70">
        <f t="shared" si="10"/>
        <v>69</v>
      </c>
      <c r="I70" s="2">
        <f t="shared" si="11"/>
        <v>3.0873327203021668</v>
      </c>
      <c r="J70" s="3">
        <f t="shared" si="12"/>
        <v>-376.10513050297766</v>
      </c>
      <c r="K70" s="3">
        <f t="shared" si="13"/>
        <v>34.707994291977428</v>
      </c>
      <c r="L70" t="str">
        <f t="shared" si="14"/>
        <v/>
      </c>
      <c r="M70" t="str">
        <f>IF(ISBLANK(C70),"",COUNTIFS(C$2:C70,C70))</f>
        <v/>
      </c>
      <c r="N70" t="str">
        <f>IF(ISBLANK(C70),"",IF(B70=2,20,15)-COUNTIFS(C$2:C70,C70))</f>
        <v/>
      </c>
    </row>
    <row r="71" spans="1:14" x14ac:dyDescent="0.35">
      <c r="A71">
        <f t="shared" si="10"/>
        <v>70</v>
      </c>
      <c r="I71" s="2">
        <f t="shared" si="11"/>
        <v>3.8085586765738473</v>
      </c>
      <c r="J71" s="3">
        <f t="shared" si="12"/>
        <v>-351.52732954357532</v>
      </c>
      <c r="K71" s="3">
        <f t="shared" si="13"/>
        <v>30.698296672455474</v>
      </c>
      <c r="L71" t="str">
        <f t="shared" si="14"/>
        <v/>
      </c>
      <c r="M71" t="str">
        <f>IF(ISBLANK(C71),"",COUNTIFS(C$2:C71,C71))</f>
        <v/>
      </c>
      <c r="N71" t="str">
        <f>IF(ISBLANK(C71),"",IF(B71=2,20,15)-COUNTIFS(C$2:C71,C71))</f>
        <v/>
      </c>
    </row>
    <row r="72" spans="1:14" x14ac:dyDescent="0.35">
      <c r="A72">
        <f t="shared" si="10"/>
        <v>71</v>
      </c>
      <c r="I72" s="2">
        <f t="shared" si="11"/>
        <v>4.5297846328455273</v>
      </c>
      <c r="J72" s="3">
        <f t="shared" si="12"/>
        <v>-378.91105281123924</v>
      </c>
      <c r="K72" s="3">
        <f t="shared" si="13"/>
        <v>35.348853090777908</v>
      </c>
      <c r="L72" t="str">
        <f t="shared" si="14"/>
        <v/>
      </c>
      <c r="M72" t="str">
        <f>IF(ISBLANK(C72),"",COUNTIFS(C$2:C72,C72))</f>
        <v/>
      </c>
      <c r="N72" t="str">
        <f>IF(ISBLANK(C72),"",IF(B72=2,20,15)-COUNTIFS(C$2:C72,C72))</f>
        <v/>
      </c>
    </row>
    <row r="73" spans="1:14" x14ac:dyDescent="0.35">
      <c r="A73">
        <f t="shared" si="10"/>
        <v>72</v>
      </c>
      <c r="I73" s="2">
        <f t="shared" si="11"/>
        <v>3.1725496200345553</v>
      </c>
      <c r="J73" s="3">
        <f t="shared" si="12"/>
        <v>-354.33325185183691</v>
      </c>
      <c r="K73" s="3">
        <f t="shared" si="13"/>
        <v>31.33915547125596</v>
      </c>
      <c r="L73" t="str">
        <f t="shared" si="14"/>
        <v/>
      </c>
      <c r="M73" t="str">
        <f>IF(ISBLANK(C73),"",COUNTIFS(C$2:C73,C73))</f>
        <v/>
      </c>
      <c r="N73" t="str">
        <f>IF(ISBLANK(C73),"",IF(B73=2,20,15)-COUNTIFS(C$2:C73,C73))</f>
        <v/>
      </c>
    </row>
    <row r="74" spans="1:14" x14ac:dyDescent="0.35">
      <c r="A74">
        <f t="shared" si="10"/>
        <v>73</v>
      </c>
      <c r="I74" s="2">
        <f t="shared" si="11"/>
        <v>3.8937755763062358</v>
      </c>
      <c r="J74" s="3">
        <f t="shared" si="12"/>
        <v>-381.71697511950083</v>
      </c>
      <c r="K74" s="3">
        <f t="shared" si="13"/>
        <v>35.989711889578395</v>
      </c>
      <c r="L74" t="str">
        <f t="shared" si="14"/>
        <v/>
      </c>
      <c r="M74" t="str">
        <f>IF(ISBLANK(C74),"",COUNTIFS(C$2:C74,C74))</f>
        <v/>
      </c>
      <c r="N74" t="str">
        <f>IF(ISBLANK(C74),"",IF(B74=2,20,15)-COUNTIFS(C$2:C74,C74))</f>
        <v/>
      </c>
    </row>
    <row r="75" spans="1:14" x14ac:dyDescent="0.35">
      <c r="A75">
        <f t="shared" si="10"/>
        <v>74</v>
      </c>
      <c r="I75" s="2">
        <f t="shared" si="11"/>
        <v>2.5365405634952638</v>
      </c>
      <c r="J75" s="3">
        <f t="shared" si="12"/>
        <v>-357.13917416009849</v>
      </c>
      <c r="K75" s="3">
        <f t="shared" si="13"/>
        <v>31.980014270056444</v>
      </c>
      <c r="L75" t="str">
        <f t="shared" si="14"/>
        <v/>
      </c>
      <c r="M75" t="str">
        <f>IF(ISBLANK(C75),"",COUNTIFS(C$2:C75,C75))</f>
        <v/>
      </c>
      <c r="N75" t="str">
        <f>IF(ISBLANK(C75),"",IF(B75=2,20,15)-COUNTIFS(C$2:C75,C75))</f>
        <v/>
      </c>
    </row>
    <row r="76" spans="1:14" x14ac:dyDescent="0.35">
      <c r="A76">
        <f t="shared" si="10"/>
        <v>75</v>
      </c>
      <c r="I76" s="2">
        <f t="shared" si="11"/>
        <v>3.2577665197669443</v>
      </c>
      <c r="J76" s="3">
        <f t="shared" si="12"/>
        <v>-332.5613732006961</v>
      </c>
      <c r="K76" s="3">
        <f t="shared" si="13"/>
        <v>36.630570688378882</v>
      </c>
      <c r="L76" t="str">
        <f t="shared" si="14"/>
        <v/>
      </c>
      <c r="M76" t="str">
        <f>IF(ISBLANK(C76),"",COUNTIFS(C$2:C76,C76))</f>
        <v/>
      </c>
      <c r="N76" t="str">
        <f>IF(ISBLANK(C76),"",IF(B76=2,20,15)-COUNTIFS(C$2:C76,C76))</f>
        <v/>
      </c>
    </row>
    <row r="77" spans="1:14" x14ac:dyDescent="0.35">
      <c r="A77">
        <f t="shared" si="10"/>
        <v>76</v>
      </c>
      <c r="I77" s="2">
        <f t="shared" si="11"/>
        <v>3.9789924760386244</v>
      </c>
      <c r="J77" s="3">
        <f t="shared" si="12"/>
        <v>-359.94509646836002</v>
      </c>
      <c r="K77" s="3">
        <f t="shared" si="13"/>
        <v>32.62087306885693</v>
      </c>
      <c r="L77" t="str">
        <f t="shared" si="14"/>
        <v/>
      </c>
      <c r="M77" t="str">
        <f>IF(ISBLANK(C77),"",COUNTIFS(C$2:C77,C77))</f>
        <v/>
      </c>
      <c r="N77" t="str">
        <f>IF(ISBLANK(C77),"",IF(B77=2,20,15)-COUNTIFS(C$2:C77,C77))</f>
        <v/>
      </c>
    </row>
    <row r="78" spans="1:14" x14ac:dyDescent="0.35">
      <c r="A78">
        <f t="shared" si="10"/>
        <v>77</v>
      </c>
      <c r="I78" s="2">
        <f t="shared" si="11"/>
        <v>2.6217574632276524</v>
      </c>
      <c r="J78" s="3">
        <f t="shared" si="12"/>
        <v>-335.36729550895768</v>
      </c>
      <c r="K78" s="3">
        <f t="shared" si="13"/>
        <v>37.271429487179361</v>
      </c>
      <c r="L78" t="str">
        <f t="shared" si="14"/>
        <v/>
      </c>
      <c r="M78" t="str">
        <f>IF(ISBLANK(C78),"",COUNTIFS(C$2:C78,C78))</f>
        <v/>
      </c>
      <c r="N78" t="str">
        <f>IF(ISBLANK(C78),"",IF(B78=2,20,15)-COUNTIFS(C$2:C78,C78))</f>
        <v/>
      </c>
    </row>
    <row r="79" spans="1:14" x14ac:dyDescent="0.35">
      <c r="A79">
        <f t="shared" si="10"/>
        <v>78</v>
      </c>
      <c r="I79" s="2">
        <f t="shared" si="11"/>
        <v>3.3429834194993329</v>
      </c>
      <c r="J79" s="3">
        <f t="shared" si="12"/>
        <v>-362.75101877662161</v>
      </c>
      <c r="K79" s="3">
        <f t="shared" si="13"/>
        <v>33.26173186765741</v>
      </c>
      <c r="L79" t="str">
        <f t="shared" si="14"/>
        <v/>
      </c>
      <c r="M79" t="str">
        <f>IF(ISBLANK(C79),"",COUNTIFS(C$2:C79,C79))</f>
        <v/>
      </c>
      <c r="N79" t="str">
        <f>IF(ISBLANK(C79),"",IF(B79=2,20,15)-COUNTIFS(C$2:C79,C79))</f>
        <v/>
      </c>
    </row>
    <row r="80" spans="1:14" x14ac:dyDescent="0.35">
      <c r="A80">
        <f t="shared" si="10"/>
        <v>79</v>
      </c>
      <c r="I80" s="2">
        <f t="shared" si="11"/>
        <v>4.0642093757710134</v>
      </c>
      <c r="J80" s="3">
        <f t="shared" si="12"/>
        <v>-338.17321781721927</v>
      </c>
      <c r="K80" s="3">
        <f t="shared" si="13"/>
        <v>37.912288285979848</v>
      </c>
      <c r="L80" t="str">
        <f t="shared" si="14"/>
        <v/>
      </c>
      <c r="M80" t="str">
        <f>IF(ISBLANK(C80),"",COUNTIFS(C$2:C80,C80))</f>
        <v/>
      </c>
      <c r="N80" t="str">
        <f>IF(ISBLANK(C80),"",IF(B80=2,20,15)-COUNTIFS(C$2:C80,C80))</f>
        <v/>
      </c>
    </row>
    <row r="81" spans="1:14" x14ac:dyDescent="0.35">
      <c r="A81">
        <f t="shared" si="10"/>
        <v>80</v>
      </c>
      <c r="I81" s="2">
        <f t="shared" si="11"/>
        <v>2.7069743629600413</v>
      </c>
      <c r="J81" s="3">
        <f t="shared" si="12"/>
        <v>-365.55694108488319</v>
      </c>
      <c r="K81" s="3">
        <f t="shared" si="13"/>
        <v>33.902590666457897</v>
      </c>
      <c r="L81" t="str">
        <f t="shared" si="14"/>
        <v/>
      </c>
      <c r="M81" t="str">
        <f>IF(ISBLANK(C81),"",COUNTIFS(C$2:C81,C81))</f>
        <v/>
      </c>
      <c r="N81" t="str">
        <f>IF(ISBLANK(C81),"",IF(B81=2,20,15)-COUNTIFS(C$2:C81,C81))</f>
        <v/>
      </c>
    </row>
    <row r="82" spans="1:14" x14ac:dyDescent="0.35">
      <c r="A82">
        <f t="shared" si="10"/>
        <v>81</v>
      </c>
      <c r="I82" s="2">
        <f t="shared" si="11"/>
        <v>3.4282003192317219</v>
      </c>
      <c r="J82" s="3">
        <f t="shared" si="12"/>
        <v>-340.97914012548085</v>
      </c>
      <c r="K82" s="3">
        <f t="shared" si="13"/>
        <v>29.892893046935946</v>
      </c>
      <c r="L82" t="str">
        <f t="shared" si="14"/>
        <v/>
      </c>
      <c r="M82" t="str">
        <f>IF(ISBLANK(C82),"",COUNTIFS(C$2:C82,C82))</f>
        <v/>
      </c>
      <c r="N82" t="str">
        <f>IF(ISBLANK(C82),"",IF(B82=2,20,15)-COUNTIFS(C$2:C82,C82))</f>
        <v/>
      </c>
    </row>
    <row r="83" spans="1:14" x14ac:dyDescent="0.35">
      <c r="A83">
        <f t="shared" si="10"/>
        <v>82</v>
      </c>
      <c r="I83" s="2">
        <f t="shared" si="11"/>
        <v>4.1494262755034024</v>
      </c>
      <c r="J83" s="3">
        <f t="shared" si="12"/>
        <v>-368.36286339314478</v>
      </c>
      <c r="K83" s="3">
        <f t="shared" si="13"/>
        <v>34.543449465258384</v>
      </c>
      <c r="L83" t="str">
        <f t="shared" si="14"/>
        <v/>
      </c>
      <c r="M83" t="str">
        <f>IF(ISBLANK(C83),"",COUNTIFS(C$2:C83,C83))</f>
        <v/>
      </c>
      <c r="N83" t="str">
        <f>IF(ISBLANK(C83),"",IF(B83=2,20,15)-COUNTIFS(C$2:C83,C83))</f>
        <v/>
      </c>
    </row>
    <row r="84" spans="1:14" x14ac:dyDescent="0.35">
      <c r="A84">
        <f t="shared" si="10"/>
        <v>83</v>
      </c>
      <c r="I84" s="2">
        <f t="shared" si="11"/>
        <v>2.7921912626924303</v>
      </c>
      <c r="J84" s="3">
        <f t="shared" si="12"/>
        <v>-343.78506243374244</v>
      </c>
      <c r="K84" s="3">
        <f t="shared" si="13"/>
        <v>30.533751845736433</v>
      </c>
      <c r="L84" t="str">
        <f t="shared" si="14"/>
        <v/>
      </c>
      <c r="M84" t="str">
        <f>IF(ISBLANK(C84),"",COUNTIFS(C$2:C84,C84))</f>
        <v/>
      </c>
      <c r="N84" t="str">
        <f>IF(ISBLANK(C84),"",IF(B84=2,20,15)-COUNTIFS(C$2:C84,C84))</f>
        <v/>
      </c>
    </row>
    <row r="85" spans="1:14" x14ac:dyDescent="0.35">
      <c r="A85">
        <f t="shared" si="10"/>
        <v>84</v>
      </c>
      <c r="I85" s="2">
        <f t="shared" si="11"/>
        <v>3.5134172189641104</v>
      </c>
      <c r="J85" s="3">
        <f t="shared" si="12"/>
        <v>-371.16878570140636</v>
      </c>
      <c r="K85" s="3">
        <f t="shared" si="13"/>
        <v>35.184308264058863</v>
      </c>
      <c r="L85" t="str">
        <f t="shared" si="14"/>
        <v/>
      </c>
      <c r="M85" t="str">
        <f>IF(ISBLANK(C85),"",COUNTIFS(C$2:C85,C85))</f>
        <v/>
      </c>
      <c r="N85" t="str">
        <f>IF(ISBLANK(C85),"",IF(B85=2,20,15)-COUNTIFS(C$2:C85,C85))</f>
        <v/>
      </c>
    </row>
    <row r="86" spans="1:14" x14ac:dyDescent="0.35">
      <c r="A86">
        <f t="shared" si="10"/>
        <v>85</v>
      </c>
      <c r="I86" s="2">
        <f t="shared" si="11"/>
        <v>4.2346431752357905</v>
      </c>
      <c r="J86" s="3">
        <f t="shared" si="12"/>
        <v>-346.59098474200403</v>
      </c>
      <c r="K86" s="3">
        <f t="shared" si="13"/>
        <v>31.174610644536916</v>
      </c>
      <c r="L86" t="str">
        <f t="shared" si="14"/>
        <v/>
      </c>
      <c r="M86" t="str">
        <f>IF(ISBLANK(C86),"",COUNTIFS(C$2:C86,C86))</f>
        <v/>
      </c>
      <c r="N86" t="str">
        <f>IF(ISBLANK(C86),"",IF(B86=2,20,15)-COUNTIFS(C$2:C86,C86))</f>
        <v/>
      </c>
    </row>
    <row r="87" spans="1:14" x14ac:dyDescent="0.35">
      <c r="A87">
        <f t="shared" si="10"/>
        <v>86</v>
      </c>
      <c r="I87" s="2">
        <f t="shared" si="11"/>
        <v>2.8774081624248189</v>
      </c>
      <c r="J87" s="3">
        <f t="shared" si="12"/>
        <v>-373.97470800966795</v>
      </c>
      <c r="K87" s="3">
        <f t="shared" si="13"/>
        <v>35.82516706285935</v>
      </c>
      <c r="L87" t="str">
        <f t="shared" si="14"/>
        <v/>
      </c>
      <c r="M87" t="str">
        <f>IF(ISBLANK(C87),"",COUNTIFS(C$2:C87,C87))</f>
        <v/>
      </c>
      <c r="N87" t="str">
        <f>IF(ISBLANK(C87),"",IF(B87=2,20,15)-COUNTIFS(C$2:C87,C87))</f>
        <v/>
      </c>
    </row>
    <row r="88" spans="1:14" x14ac:dyDescent="0.35">
      <c r="A88">
        <f t="shared" si="10"/>
        <v>87</v>
      </c>
      <c r="I88" s="2">
        <f t="shared" si="11"/>
        <v>3.5986341186964994</v>
      </c>
      <c r="J88" s="3">
        <f t="shared" si="12"/>
        <v>-349.39690705026555</v>
      </c>
      <c r="K88" s="3">
        <f t="shared" si="13"/>
        <v>31.815469443337399</v>
      </c>
      <c r="L88" t="str">
        <f t="shared" si="14"/>
        <v/>
      </c>
      <c r="M88" t="str">
        <f>IF(ISBLANK(C88),"",COUNTIFS(C$2:C88,C88))</f>
        <v/>
      </c>
      <c r="N88" t="str">
        <f>IF(ISBLANK(C88),"",IF(B88=2,20,15)-COUNTIFS(C$2:C88,C88))</f>
        <v/>
      </c>
    </row>
    <row r="89" spans="1:14" x14ac:dyDescent="0.35">
      <c r="A89">
        <f t="shared" si="10"/>
        <v>88</v>
      </c>
      <c r="I89" s="2">
        <f t="shared" si="11"/>
        <v>4.3198600749681795</v>
      </c>
      <c r="J89" s="3">
        <f t="shared" si="12"/>
        <v>-376.78063031792954</v>
      </c>
      <c r="K89" s="3">
        <f t="shared" si="13"/>
        <v>36.466025861659837</v>
      </c>
      <c r="L89" t="str">
        <f t="shared" si="14"/>
        <v/>
      </c>
      <c r="M89" t="str">
        <f>IF(ISBLANK(C89),"",COUNTIFS(C$2:C89,C89))</f>
        <v/>
      </c>
      <c r="N89" t="str">
        <f>IF(ISBLANK(C89),"",IF(B89=2,20,15)-COUNTIFS(C$2:C89,C89))</f>
        <v/>
      </c>
    </row>
    <row r="90" spans="1:14" x14ac:dyDescent="0.35">
      <c r="A90">
        <f t="shared" si="10"/>
        <v>89</v>
      </c>
      <c r="I90" s="2">
        <f t="shared" si="11"/>
        <v>2.9626250621572074</v>
      </c>
      <c r="J90" s="3">
        <f t="shared" si="12"/>
        <v>-352.20282935852714</v>
      </c>
      <c r="K90" s="3">
        <f t="shared" si="13"/>
        <v>32.456328242137886</v>
      </c>
      <c r="L90" t="str">
        <f t="shared" si="14"/>
        <v/>
      </c>
      <c r="M90" t="str">
        <f>IF(ISBLANK(C90),"",COUNTIFS(C$2:C90,C90))</f>
        <v/>
      </c>
      <c r="N90" t="str">
        <f>IF(ISBLANK(C90),"",IF(B90=2,20,15)-COUNTIFS(C$2:C90,C90))</f>
        <v/>
      </c>
    </row>
    <row r="91" spans="1:14" x14ac:dyDescent="0.35">
      <c r="A91">
        <f t="shared" si="10"/>
        <v>90</v>
      </c>
      <c r="I91" s="2">
        <f t="shared" si="11"/>
        <v>3.683851018428888</v>
      </c>
      <c r="J91" s="3">
        <f t="shared" si="12"/>
        <v>-379.58655262619112</v>
      </c>
      <c r="K91" s="3">
        <f t="shared" si="13"/>
        <v>37.106884660460324</v>
      </c>
      <c r="L91" t="str">
        <f t="shared" si="14"/>
        <v/>
      </c>
      <c r="M91" t="str">
        <f>IF(ISBLANK(C91),"",COUNTIFS(C$2:C91,C91))</f>
        <v/>
      </c>
      <c r="N91" t="str">
        <f>IF(ISBLANK(C91),"",IF(B91=2,20,15)-COUNTIFS(C$2:C91,C91))</f>
        <v/>
      </c>
    </row>
    <row r="92" spans="1:14" x14ac:dyDescent="0.35">
      <c r="A92">
        <f t="shared" si="10"/>
        <v>91</v>
      </c>
      <c r="I92" s="2">
        <f t="shared" si="11"/>
        <v>4.4050769747005685</v>
      </c>
      <c r="J92" s="3">
        <f t="shared" si="12"/>
        <v>-355.00875166678873</v>
      </c>
      <c r="K92" s="3">
        <f t="shared" si="13"/>
        <v>33.097187040938373</v>
      </c>
      <c r="L92" t="str">
        <f t="shared" si="14"/>
        <v/>
      </c>
      <c r="M92" t="str">
        <f>IF(ISBLANK(C92),"",COUNTIFS(C$2:C92,C92))</f>
        <v/>
      </c>
      <c r="N92" t="str">
        <f>IF(ISBLANK(C92),"",IF(B92=2,20,15)-COUNTIFS(C$2:C92,C92))</f>
        <v/>
      </c>
    </row>
    <row r="93" spans="1:14" x14ac:dyDescent="0.35">
      <c r="A93">
        <f t="shared" si="10"/>
        <v>92</v>
      </c>
      <c r="I93" s="2">
        <f t="shared" si="11"/>
        <v>3.0478419618895964</v>
      </c>
      <c r="J93" s="3">
        <f t="shared" si="12"/>
        <v>-330.43095070738639</v>
      </c>
      <c r="K93" s="3">
        <f t="shared" si="13"/>
        <v>37.747743459260803</v>
      </c>
      <c r="L93" t="str">
        <f t="shared" si="14"/>
        <v/>
      </c>
      <c r="M93" t="str">
        <f>IF(ISBLANK(C93),"",COUNTIFS(C$2:C93,C93))</f>
        <v/>
      </c>
      <c r="N93" t="str">
        <f>IF(ISBLANK(C93),"",IF(B93=2,20,15)-COUNTIFS(C$2:C93,C93))</f>
        <v/>
      </c>
    </row>
    <row r="94" spans="1:14" x14ac:dyDescent="0.35">
      <c r="A94">
        <f t="shared" si="10"/>
        <v>93</v>
      </c>
      <c r="I94" s="2">
        <f t="shared" si="11"/>
        <v>3.7690679181612765</v>
      </c>
      <c r="J94" s="3">
        <f t="shared" si="12"/>
        <v>-357.81467397505031</v>
      </c>
      <c r="K94" s="3">
        <f t="shared" si="13"/>
        <v>33.738045839738852</v>
      </c>
      <c r="L94" t="str">
        <f t="shared" si="14"/>
        <v/>
      </c>
      <c r="M94" t="str">
        <f>IF(ISBLANK(C94),"",COUNTIFS(C$2:C94,C94))</f>
        <v/>
      </c>
      <c r="N94" t="str">
        <f>IF(ISBLANK(C94),"",IF(B94=2,20,15)-COUNTIFS(C$2:C94,C94))</f>
        <v/>
      </c>
    </row>
    <row r="95" spans="1:14" x14ac:dyDescent="0.35">
      <c r="A95">
        <f t="shared" si="10"/>
        <v>94</v>
      </c>
      <c r="I95" s="2">
        <f t="shared" si="11"/>
        <v>4.4902938744329575</v>
      </c>
      <c r="J95" s="3">
        <f t="shared" si="12"/>
        <v>-333.23687301564797</v>
      </c>
      <c r="K95" s="3">
        <f t="shared" si="13"/>
        <v>29.728348220216905</v>
      </c>
      <c r="L95" t="str">
        <f t="shared" si="14"/>
        <v/>
      </c>
      <c r="M95" t="str">
        <f>IF(ISBLANK(C95),"",COUNTIFS(C$2:C95,C95))</f>
        <v/>
      </c>
      <c r="N95" t="str">
        <f>IF(ISBLANK(C95),"",IF(B95=2,20,15)-COUNTIFS(C$2:C95,C95))</f>
        <v/>
      </c>
    </row>
    <row r="96" spans="1:14" x14ac:dyDescent="0.35">
      <c r="A96">
        <f t="shared" si="10"/>
        <v>95</v>
      </c>
      <c r="I96" s="2">
        <f t="shared" si="11"/>
        <v>3.133058861621985</v>
      </c>
      <c r="J96" s="3">
        <f t="shared" si="12"/>
        <v>-360.6205962833119</v>
      </c>
      <c r="K96" s="3">
        <f t="shared" si="13"/>
        <v>34.378904638539339</v>
      </c>
      <c r="L96" t="str">
        <f t="shared" si="14"/>
        <v/>
      </c>
      <c r="M96" t="str">
        <f>IF(ISBLANK(C96),"",COUNTIFS(C$2:C96,C96))</f>
        <v/>
      </c>
      <c r="N96" t="str">
        <f>IF(ISBLANK(C96),"",IF(B96=2,20,15)-COUNTIFS(C$2:C96,C96))</f>
        <v/>
      </c>
    </row>
    <row r="97" spans="1:14" x14ac:dyDescent="0.35">
      <c r="A97">
        <f t="shared" si="10"/>
        <v>96</v>
      </c>
      <c r="I97" s="2">
        <f t="shared" si="11"/>
        <v>3.8542848178936655</v>
      </c>
      <c r="J97" s="3">
        <f t="shared" si="12"/>
        <v>-336.04279532390956</v>
      </c>
      <c r="K97" s="3">
        <f t="shared" si="13"/>
        <v>30.369207019017388</v>
      </c>
      <c r="L97" t="str">
        <f t="shared" si="14"/>
        <v/>
      </c>
      <c r="M97" t="str">
        <f>IF(ISBLANK(C97),"",COUNTIFS(C$2:C97,C97))</f>
        <v/>
      </c>
      <c r="N97" t="str">
        <f>IF(ISBLANK(C97),"",IF(B97=2,20,15)-COUNTIFS(C$2:C97,C97))</f>
        <v/>
      </c>
    </row>
    <row r="98" spans="1:14" x14ac:dyDescent="0.35">
      <c r="A98">
        <f t="shared" ref="A98:A129" si="15">ROW()-1</f>
        <v>97</v>
      </c>
      <c r="I98" s="2">
        <f t="shared" ref="I98:I129" si="16">IF(L98&lt;&gt;"","",8+0.1*(((D98)-12.5)/7.5)+3*(((E98)-20)/20)+2*(((F98)-2.25)/1.75)+(-0.2)*(((G98)-12.5)/12.5)+0.2*(((H98)-130)/30)+1.5*(((E98)-20)/20)*(((F98)-2.25)/1.75)+((MOD(ROW()*12347,1000)/1000-0.5)*2*0.6*SQRT(3)))</f>
        <v>2.4970498050826935</v>
      </c>
      <c r="J98" s="3">
        <f t="shared" ref="J98:J129" si="17">IF(L98&lt;&gt;"","",380+3*(((D98)-12.5)/7.5)+8*(((H98)-130)/30)+(-100)*((((E98)-20)/20)-(-0.5))^2+(-150)*((((F98)-2.25)/1.75)-(0.5))^2+(-80)*((((G98)-12.5)/12.5)-(0.5))^2+(-10)*(((E98)-20)/20)*(((F98)-2.25)/1.75)+((MOD(ROW()*23473,1000)/1000-0.5)*2*15*SQRT(3)))</f>
        <v>-363.42651859157348</v>
      </c>
      <c r="K98" s="3">
        <f t="shared" ref="K98:K129" si="18">IF(L98&lt;&gt;"","",55+0.5*(((D98)-12.5)/7.5)+12*(((E98)-20)/20)+5*(((F98)-2.25)/1.75)+(-3)*(((G98)-12.5)/12.5)+2*(((H98)-130)/30)+3*(((E98)-20)/20)*(((F98)-2.25)/1.75)+((MOD(ROW()*34537,1000)/1000-0.5)*2*2.5*SQRT(3)))</f>
        <v>35.019763437339826</v>
      </c>
      <c r="L98" t="str">
        <f t="shared" ref="L98:L129" si="19">IF(OR(ISBLANK(D98),ISBLANK(E98),ISBLANK(F98),ISBLANK(G98),ISBLANK(H98)),"",IF(D98&gt;20,"latex &gt; 20% — mixture unstable",IF(OR(D98&lt;5,E98&lt;0,E98&gt;40,F98&lt;0.5,F98&gt;4,G98&lt;0,G98&gt;25,H98&lt;100,H98&gt;160),"out of range","")))</f>
        <v/>
      </c>
      <c r="M98" t="str">
        <f>IF(ISBLANK(C98),"",COUNTIFS(C$2:C98,C98))</f>
        <v/>
      </c>
      <c r="N98" t="str">
        <f>IF(ISBLANK(C98),"",IF(B98=2,20,15)-COUNTIFS(C$2:C98,C98))</f>
        <v/>
      </c>
    </row>
    <row r="99" spans="1:14" x14ac:dyDescent="0.35">
      <c r="A99">
        <f t="shared" si="15"/>
        <v>98</v>
      </c>
      <c r="I99" s="2">
        <f t="shared" si="16"/>
        <v>3.2182757613543735</v>
      </c>
      <c r="J99" s="3">
        <f t="shared" si="17"/>
        <v>-338.84871763217114</v>
      </c>
      <c r="K99" s="3">
        <f t="shared" si="18"/>
        <v>31.010065817817875</v>
      </c>
      <c r="L99" t="str">
        <f t="shared" si="19"/>
        <v/>
      </c>
      <c r="M99" t="str">
        <f>IF(ISBLANK(C99),"",COUNTIFS(C$2:C99,C99))</f>
        <v/>
      </c>
      <c r="N99" t="str">
        <f>IF(ISBLANK(C99),"",IF(B99=2,20,15)-COUNTIFS(C$2:C99,C99))</f>
        <v/>
      </c>
    </row>
    <row r="100" spans="1:14" x14ac:dyDescent="0.35">
      <c r="A100">
        <f t="shared" si="15"/>
        <v>99</v>
      </c>
      <c r="I100" s="2">
        <f t="shared" si="16"/>
        <v>3.9395017176260541</v>
      </c>
      <c r="J100" s="3">
        <f t="shared" si="17"/>
        <v>-366.23244089983507</v>
      </c>
      <c r="K100" s="3">
        <f t="shared" si="18"/>
        <v>35.660622236140306</v>
      </c>
      <c r="L100" t="str">
        <f t="shared" si="19"/>
        <v/>
      </c>
      <c r="M100" t="str">
        <f>IF(ISBLANK(C100),"",COUNTIFS(C$2:C100,C100))</f>
        <v/>
      </c>
      <c r="N100" t="str">
        <f>IF(ISBLANK(C100),"",IF(B100=2,20,15)-COUNTIFS(C$2:C100,C100))</f>
        <v/>
      </c>
    </row>
    <row r="101" spans="1:14" x14ac:dyDescent="0.35">
      <c r="A101">
        <f t="shared" si="15"/>
        <v>100</v>
      </c>
      <c r="I101" s="2">
        <f t="shared" si="16"/>
        <v>2.582266704815082</v>
      </c>
      <c r="J101" s="3">
        <f t="shared" si="17"/>
        <v>-341.65463994043267</v>
      </c>
      <c r="K101" s="3">
        <f t="shared" si="18"/>
        <v>31.650924616618358</v>
      </c>
      <c r="L101" t="str">
        <f t="shared" si="19"/>
        <v/>
      </c>
      <c r="M101" t="str">
        <f>IF(ISBLANK(C101),"",COUNTIFS(C$2:C101,C101))</f>
        <v/>
      </c>
      <c r="N101" t="str">
        <f>IF(ISBLANK(C101),"",IF(B101=2,20,15)-COUNTIFS(C$2:C101,C101))</f>
        <v/>
      </c>
    </row>
    <row r="102" spans="1:14" x14ac:dyDescent="0.35">
      <c r="A102">
        <f t="shared" si="15"/>
        <v>101</v>
      </c>
      <c r="I102" s="2">
        <f t="shared" si="16"/>
        <v>3.3034926610867625</v>
      </c>
      <c r="J102" s="3">
        <f t="shared" si="17"/>
        <v>-369.03836320809665</v>
      </c>
      <c r="K102" s="3">
        <f t="shared" si="18"/>
        <v>36.301481034940792</v>
      </c>
      <c r="L102" t="str">
        <f t="shared" si="19"/>
        <v/>
      </c>
      <c r="M102" t="str">
        <f>IF(ISBLANK(C102),"",COUNTIFS(C$2:C102,C102))</f>
        <v/>
      </c>
      <c r="N102" t="str">
        <f>IF(ISBLANK(C102),"",IF(B102=2,20,15)-COUNTIFS(C$2:C102,C102))</f>
        <v/>
      </c>
    </row>
    <row r="103" spans="1:14" x14ac:dyDescent="0.35">
      <c r="A103">
        <f t="shared" si="15"/>
        <v>102</v>
      </c>
      <c r="I103" s="2">
        <f t="shared" si="16"/>
        <v>4.0247186173584426</v>
      </c>
      <c r="J103" s="3">
        <f t="shared" si="17"/>
        <v>-344.46056224869426</v>
      </c>
      <c r="K103" s="3">
        <f t="shared" si="18"/>
        <v>32.291783415418841</v>
      </c>
      <c r="L103" t="str">
        <f t="shared" si="19"/>
        <v/>
      </c>
      <c r="M103" t="str">
        <f>IF(ISBLANK(C103),"",COUNTIFS(C$2:C103,C103))</f>
        <v/>
      </c>
      <c r="N103" t="str">
        <f>IF(ISBLANK(C103),"",IF(B103=2,20,15)-COUNTIFS(C$2:C103,C103))</f>
        <v/>
      </c>
    </row>
    <row r="104" spans="1:14" x14ac:dyDescent="0.35">
      <c r="A104">
        <f t="shared" si="15"/>
        <v>103</v>
      </c>
      <c r="I104" s="2">
        <f t="shared" si="16"/>
        <v>2.6674836045474706</v>
      </c>
      <c r="J104" s="3">
        <f t="shared" si="17"/>
        <v>-371.84428551635824</v>
      </c>
      <c r="K104" s="3">
        <f t="shared" si="18"/>
        <v>36.942339833741279</v>
      </c>
      <c r="L104" t="str">
        <f t="shared" si="19"/>
        <v/>
      </c>
      <c r="M104" t="str">
        <f>IF(ISBLANK(C104),"",COUNTIFS(C$2:C104,C104))</f>
        <v/>
      </c>
      <c r="N104" t="str">
        <f>IF(ISBLANK(C104),"",IF(B104=2,20,15)-COUNTIFS(C$2:C104,C104))</f>
        <v/>
      </c>
    </row>
    <row r="105" spans="1:14" x14ac:dyDescent="0.35">
      <c r="A105">
        <f t="shared" si="15"/>
        <v>104</v>
      </c>
      <c r="I105" s="2">
        <f t="shared" si="16"/>
        <v>3.3887095608191515</v>
      </c>
      <c r="J105" s="3">
        <f t="shared" si="17"/>
        <v>-347.26648455695585</v>
      </c>
      <c r="K105" s="3">
        <f t="shared" si="18"/>
        <v>32.932642214219328</v>
      </c>
      <c r="L105" t="str">
        <f t="shared" si="19"/>
        <v/>
      </c>
      <c r="M105" t="str">
        <f>IF(ISBLANK(C105),"",COUNTIFS(C$2:C105,C105))</f>
        <v/>
      </c>
      <c r="N105" t="str">
        <f>IF(ISBLANK(C105),"",IF(B105=2,20,15)-COUNTIFS(C$2:C105,C105))</f>
        <v/>
      </c>
    </row>
    <row r="106" spans="1:14" x14ac:dyDescent="0.35">
      <c r="A106">
        <f t="shared" si="15"/>
        <v>105</v>
      </c>
      <c r="I106" s="2">
        <f t="shared" si="16"/>
        <v>4.1099355170908316</v>
      </c>
      <c r="J106" s="3">
        <f t="shared" si="17"/>
        <v>-374.65020782461983</v>
      </c>
      <c r="K106" s="3">
        <f t="shared" si="18"/>
        <v>37.583198632541759</v>
      </c>
      <c r="L106" t="str">
        <f t="shared" si="19"/>
        <v/>
      </c>
      <c r="M106" t="str">
        <f>IF(ISBLANK(C106),"",COUNTIFS(C$2:C106,C106))</f>
        <v/>
      </c>
      <c r="N106" t="str">
        <f>IF(ISBLANK(C106),"",IF(B106=2,20,15)-COUNTIFS(C$2:C106,C106))</f>
        <v/>
      </c>
    </row>
    <row r="107" spans="1:14" x14ac:dyDescent="0.35">
      <c r="A107">
        <f t="shared" si="15"/>
        <v>106</v>
      </c>
      <c r="I107" s="2">
        <f t="shared" si="16"/>
        <v>2.7527005042798596</v>
      </c>
      <c r="J107" s="3">
        <f t="shared" si="17"/>
        <v>-350.07240686521743</v>
      </c>
      <c r="K107" s="3">
        <f t="shared" si="18"/>
        <v>33.573501013019808</v>
      </c>
      <c r="L107" t="str">
        <f t="shared" si="19"/>
        <v/>
      </c>
      <c r="M107" t="str">
        <f>IF(ISBLANK(C107),"",COUNTIFS(C$2:C107,C107))</f>
        <v/>
      </c>
      <c r="N107" t="str">
        <f>IF(ISBLANK(C107),"",IF(B107=2,20,15)-COUNTIFS(C$2:C107,C107))</f>
        <v/>
      </c>
    </row>
    <row r="108" spans="1:14" x14ac:dyDescent="0.35">
      <c r="A108">
        <f t="shared" si="15"/>
        <v>107</v>
      </c>
      <c r="I108" s="2">
        <f t="shared" si="16"/>
        <v>3.4739264605515401</v>
      </c>
      <c r="J108" s="3">
        <f t="shared" si="17"/>
        <v>-377.45613013288141</v>
      </c>
      <c r="K108" s="3">
        <f t="shared" si="18"/>
        <v>38.224057431342246</v>
      </c>
      <c r="L108" t="str">
        <f t="shared" si="19"/>
        <v/>
      </c>
      <c r="M108" t="str">
        <f>IF(ISBLANK(C108),"",COUNTIFS(C$2:C108,C108))</f>
        <v/>
      </c>
      <c r="N108" t="str">
        <f>IF(ISBLANK(C108),"",IF(B108=2,20,15)-COUNTIFS(C$2:C108,C108))</f>
        <v/>
      </c>
    </row>
    <row r="109" spans="1:14" x14ac:dyDescent="0.35">
      <c r="A109">
        <f t="shared" si="15"/>
        <v>108</v>
      </c>
      <c r="I109" s="2">
        <f t="shared" si="16"/>
        <v>4.1951524168232206</v>
      </c>
      <c r="J109" s="3">
        <f t="shared" si="17"/>
        <v>-352.87832917347902</v>
      </c>
      <c r="K109" s="3">
        <f t="shared" si="18"/>
        <v>34.214359811820295</v>
      </c>
      <c r="L109" t="str">
        <f t="shared" si="19"/>
        <v/>
      </c>
      <c r="M109" t="str">
        <f>IF(ISBLANK(C109),"",COUNTIFS(C$2:C109,C109))</f>
        <v/>
      </c>
      <c r="N109" t="str">
        <f>IF(ISBLANK(C109),"",IF(B109=2,20,15)-COUNTIFS(C$2:C109,C109))</f>
        <v/>
      </c>
    </row>
    <row r="110" spans="1:14" x14ac:dyDescent="0.35">
      <c r="A110">
        <f t="shared" si="15"/>
        <v>109</v>
      </c>
      <c r="I110" s="2">
        <f t="shared" si="16"/>
        <v>2.8379174040122486</v>
      </c>
      <c r="J110" s="3">
        <f t="shared" si="17"/>
        <v>-380.262052441143</v>
      </c>
      <c r="K110" s="3">
        <f t="shared" si="18"/>
        <v>30.204662192298343</v>
      </c>
      <c r="L110" t="str">
        <f t="shared" si="19"/>
        <v/>
      </c>
      <c r="M110" t="str">
        <f>IF(ISBLANK(C110),"",COUNTIFS(C$2:C110,C110))</f>
        <v/>
      </c>
      <c r="N110" t="str">
        <f>IF(ISBLANK(C110),"",IF(B110=2,20,15)-COUNTIFS(C$2:C110,C110))</f>
        <v/>
      </c>
    </row>
    <row r="111" spans="1:14" x14ac:dyDescent="0.35">
      <c r="A111">
        <f t="shared" si="15"/>
        <v>110</v>
      </c>
      <c r="I111" s="2">
        <f t="shared" si="16"/>
        <v>3.5591433602839286</v>
      </c>
      <c r="J111" s="3">
        <f t="shared" si="17"/>
        <v>-355.6842514817406</v>
      </c>
      <c r="K111" s="3">
        <f t="shared" si="18"/>
        <v>34.855218610620781</v>
      </c>
      <c r="L111" t="str">
        <f t="shared" si="19"/>
        <v/>
      </c>
      <c r="M111" t="str">
        <f>IF(ISBLANK(C111),"",COUNTIFS(C$2:C111,C111))</f>
        <v/>
      </c>
      <c r="N111" t="str">
        <f>IF(ISBLANK(C111),"",IF(B111=2,20,15)-COUNTIFS(C$2:C111,C111))</f>
        <v/>
      </c>
    </row>
    <row r="112" spans="1:14" x14ac:dyDescent="0.35">
      <c r="A112">
        <f t="shared" si="15"/>
        <v>111</v>
      </c>
      <c r="I112" s="2">
        <f t="shared" si="16"/>
        <v>4.2803693165556096</v>
      </c>
      <c r="J112" s="3">
        <f t="shared" si="17"/>
        <v>-331.10645052233826</v>
      </c>
      <c r="K112" s="3">
        <f t="shared" si="18"/>
        <v>30.84552099109883</v>
      </c>
      <c r="L112" t="str">
        <f t="shared" si="19"/>
        <v/>
      </c>
      <c r="M112" t="str">
        <f>IF(ISBLANK(C112),"",COUNTIFS(C$2:C112,C112))</f>
        <v/>
      </c>
      <c r="N112" t="str">
        <f>IF(ISBLANK(C112),"",IF(B112=2,20,15)-COUNTIFS(C$2:C112,C112))</f>
        <v/>
      </c>
    </row>
    <row r="113" spans="1:14" x14ac:dyDescent="0.35">
      <c r="A113">
        <f t="shared" si="15"/>
        <v>112</v>
      </c>
      <c r="I113" s="2">
        <f t="shared" si="16"/>
        <v>2.9231343037446371</v>
      </c>
      <c r="J113" s="3">
        <f t="shared" si="17"/>
        <v>-358.49017379000219</v>
      </c>
      <c r="K113" s="3">
        <f t="shared" si="18"/>
        <v>35.496077409421268</v>
      </c>
      <c r="L113" t="str">
        <f t="shared" si="19"/>
        <v/>
      </c>
      <c r="M113" t="str">
        <f>IF(ISBLANK(C113),"",COUNTIFS(C$2:C113,C113))</f>
        <v/>
      </c>
      <c r="N113" t="str">
        <f>IF(ISBLANK(C113),"",IF(B113=2,20,15)-COUNTIFS(C$2:C113,C113))</f>
        <v/>
      </c>
    </row>
    <row r="114" spans="1:14" x14ac:dyDescent="0.35">
      <c r="A114">
        <f t="shared" si="15"/>
        <v>113</v>
      </c>
      <c r="I114" s="2">
        <f t="shared" si="16"/>
        <v>3.6443602600163176</v>
      </c>
      <c r="J114" s="3">
        <f t="shared" si="17"/>
        <v>-333.91237283059979</v>
      </c>
      <c r="K114" s="3">
        <f t="shared" si="18"/>
        <v>31.486379789899313</v>
      </c>
      <c r="L114" t="str">
        <f t="shared" si="19"/>
        <v/>
      </c>
      <c r="M114" t="str">
        <f>IF(ISBLANK(C114),"",COUNTIFS(C$2:C114,C114))</f>
        <v/>
      </c>
      <c r="N114" t="str">
        <f>IF(ISBLANK(C114),"",IF(B114=2,20,15)-COUNTIFS(C$2:C114,C114))</f>
        <v/>
      </c>
    </row>
    <row r="115" spans="1:14" x14ac:dyDescent="0.35">
      <c r="A115">
        <f t="shared" si="15"/>
        <v>114</v>
      </c>
      <c r="I115" s="2">
        <f t="shared" si="16"/>
        <v>4.3655862162879977</v>
      </c>
      <c r="J115" s="3">
        <f t="shared" si="17"/>
        <v>-361.29609609826377</v>
      </c>
      <c r="K115" s="3">
        <f t="shared" si="18"/>
        <v>36.136936208221748</v>
      </c>
      <c r="L115" t="str">
        <f t="shared" si="19"/>
        <v/>
      </c>
      <c r="M115" t="str">
        <f>IF(ISBLANK(C115),"",COUNTIFS(C$2:C115,C115))</f>
        <v/>
      </c>
      <c r="N115" t="str">
        <f>IF(ISBLANK(C115),"",IF(B115=2,20,15)-COUNTIFS(C$2:C115,C115))</f>
        <v/>
      </c>
    </row>
    <row r="116" spans="1:14" x14ac:dyDescent="0.35">
      <c r="A116">
        <f t="shared" si="15"/>
        <v>115</v>
      </c>
      <c r="I116" s="2">
        <f t="shared" si="16"/>
        <v>3.0083512034770257</v>
      </c>
      <c r="J116" s="3">
        <f t="shared" si="17"/>
        <v>-336.71829513886138</v>
      </c>
      <c r="K116" s="3">
        <f t="shared" si="18"/>
        <v>32.127238588699797</v>
      </c>
      <c r="L116" t="str">
        <f t="shared" si="19"/>
        <v/>
      </c>
      <c r="M116" t="str">
        <f>IF(ISBLANK(C116),"",COUNTIFS(C$2:C116,C116))</f>
        <v/>
      </c>
      <c r="N116" t="str">
        <f>IF(ISBLANK(C116),"",IF(B116=2,20,15)-COUNTIFS(C$2:C116,C116))</f>
        <v/>
      </c>
    </row>
    <row r="117" spans="1:14" x14ac:dyDescent="0.35">
      <c r="A117">
        <f t="shared" si="15"/>
        <v>116</v>
      </c>
      <c r="I117" s="2">
        <f t="shared" si="16"/>
        <v>3.7295771597487062</v>
      </c>
      <c r="J117" s="3">
        <f t="shared" si="17"/>
        <v>-364.10201840652536</v>
      </c>
      <c r="K117" s="3">
        <f t="shared" si="18"/>
        <v>36.777795007022235</v>
      </c>
      <c r="L117" t="str">
        <f t="shared" si="19"/>
        <v/>
      </c>
      <c r="M117" t="str">
        <f>IF(ISBLANK(C117),"",COUNTIFS(C$2:C117,C117))</f>
        <v/>
      </c>
      <c r="N117" t="str">
        <f>IF(ISBLANK(C117),"",IF(B117=2,20,15)-COUNTIFS(C$2:C117,C117))</f>
        <v/>
      </c>
    </row>
    <row r="118" spans="1:14" x14ac:dyDescent="0.35">
      <c r="A118">
        <f t="shared" si="15"/>
        <v>117</v>
      </c>
      <c r="I118" s="2">
        <f t="shared" si="16"/>
        <v>4.4508031160203867</v>
      </c>
      <c r="J118" s="3">
        <f t="shared" si="17"/>
        <v>-339.52421744712296</v>
      </c>
      <c r="K118" s="3">
        <f t="shared" si="18"/>
        <v>32.768097387500283</v>
      </c>
      <c r="L118" t="str">
        <f t="shared" si="19"/>
        <v/>
      </c>
      <c r="M118" t="str">
        <f>IF(ISBLANK(C118),"",COUNTIFS(C$2:C118,C118))</f>
        <v/>
      </c>
      <c r="N118" t="str">
        <f>IF(ISBLANK(C118),"",IF(B118=2,20,15)-COUNTIFS(C$2:C118,C118))</f>
        <v/>
      </c>
    </row>
    <row r="119" spans="1:14" x14ac:dyDescent="0.35">
      <c r="A119">
        <f t="shared" si="15"/>
        <v>118</v>
      </c>
      <c r="I119" s="2">
        <f t="shared" si="16"/>
        <v>3.0935681032094147</v>
      </c>
      <c r="J119" s="3">
        <f t="shared" si="17"/>
        <v>-366.90794071478695</v>
      </c>
      <c r="K119" s="3">
        <f t="shared" si="18"/>
        <v>37.418653805822721</v>
      </c>
      <c r="L119" t="str">
        <f t="shared" si="19"/>
        <v/>
      </c>
      <c r="M119" t="str">
        <f>IF(ISBLANK(C119),"",COUNTIFS(C$2:C119,C119))</f>
        <v/>
      </c>
      <c r="N119" t="str">
        <f>IF(ISBLANK(C119),"",IF(B119=2,20,15)-COUNTIFS(C$2:C119,C119))</f>
        <v/>
      </c>
    </row>
    <row r="120" spans="1:14" x14ac:dyDescent="0.35">
      <c r="A120">
        <f t="shared" si="15"/>
        <v>119</v>
      </c>
      <c r="I120" s="2">
        <f t="shared" si="16"/>
        <v>3.8147940594810952</v>
      </c>
      <c r="J120" s="3">
        <f t="shared" si="17"/>
        <v>-342.33013975538455</v>
      </c>
      <c r="K120" s="3">
        <f t="shared" si="18"/>
        <v>33.40895618630077</v>
      </c>
      <c r="L120" t="str">
        <f t="shared" si="19"/>
        <v/>
      </c>
      <c r="M120" t="str">
        <f>IF(ISBLANK(C120),"",COUNTIFS(C$2:C120,C120))</f>
        <v/>
      </c>
      <c r="N120" t="str">
        <f>IF(ISBLANK(C120),"",IF(B120=2,20,15)-COUNTIFS(C$2:C120,C120))</f>
        <v/>
      </c>
    </row>
    <row r="121" spans="1:14" x14ac:dyDescent="0.35">
      <c r="A121">
        <f t="shared" si="15"/>
        <v>120</v>
      </c>
      <c r="I121" s="2">
        <f t="shared" si="16"/>
        <v>4.5360200157527757</v>
      </c>
      <c r="J121" s="3">
        <f t="shared" si="17"/>
        <v>-369.71386302304853</v>
      </c>
      <c r="K121" s="3">
        <f t="shared" si="18"/>
        <v>38.059512604623201</v>
      </c>
      <c r="L121" t="str">
        <f t="shared" si="19"/>
        <v/>
      </c>
      <c r="M121" t="str">
        <f>IF(ISBLANK(C121),"",COUNTIFS(C$2:C121,C121))</f>
        <v/>
      </c>
      <c r="N121" t="str">
        <f>IF(ISBLANK(C121),"",IF(B121=2,20,15)-COUNTIFS(C$2:C121,C121))</f>
        <v/>
      </c>
    </row>
    <row r="122" spans="1:14" x14ac:dyDescent="0.35">
      <c r="A122">
        <f t="shared" si="15"/>
        <v>121</v>
      </c>
      <c r="I122" s="2">
        <f t="shared" si="16"/>
        <v>3.1787850029418037</v>
      </c>
      <c r="J122" s="3">
        <f t="shared" si="17"/>
        <v>-345.13606206364614</v>
      </c>
      <c r="K122" s="3">
        <f t="shared" si="18"/>
        <v>34.04981498510125</v>
      </c>
      <c r="L122" t="str">
        <f t="shared" si="19"/>
        <v/>
      </c>
      <c r="M122" t="str">
        <f>IF(ISBLANK(C122),"",COUNTIFS(C$2:C122,C122))</f>
        <v/>
      </c>
      <c r="N122" t="str">
        <f>IF(ISBLANK(C122),"",IF(B122=2,20,15)-COUNTIFS(C$2:C122,C122))</f>
        <v/>
      </c>
    </row>
    <row r="123" spans="1:14" x14ac:dyDescent="0.35">
      <c r="A123">
        <f t="shared" si="15"/>
        <v>122</v>
      </c>
      <c r="I123" s="2">
        <f t="shared" si="16"/>
        <v>3.9000109592134837</v>
      </c>
      <c r="J123" s="3">
        <f t="shared" si="17"/>
        <v>-372.51978533131012</v>
      </c>
      <c r="K123" s="3">
        <f t="shared" si="18"/>
        <v>30.040117365579302</v>
      </c>
      <c r="L123" t="str">
        <f t="shared" si="19"/>
        <v/>
      </c>
      <c r="M123" t="str">
        <f>IF(ISBLANK(C123),"",COUNTIFS(C$2:C123,C123))</f>
        <v/>
      </c>
      <c r="N123" t="str">
        <f>IF(ISBLANK(C123),"",IF(B123=2,20,15)-COUNTIFS(C$2:C123,C123))</f>
        <v/>
      </c>
    </row>
    <row r="124" spans="1:14" x14ac:dyDescent="0.35">
      <c r="A124">
        <f t="shared" si="15"/>
        <v>123</v>
      </c>
      <c r="I124" s="2">
        <f t="shared" si="16"/>
        <v>2.5427759464025117</v>
      </c>
      <c r="J124" s="3">
        <f t="shared" si="17"/>
        <v>-347.94198437190772</v>
      </c>
      <c r="K124" s="3">
        <f t="shared" si="18"/>
        <v>34.690673783901737</v>
      </c>
      <c r="L124" t="str">
        <f t="shared" si="19"/>
        <v/>
      </c>
      <c r="M124" t="str">
        <f>IF(ISBLANK(C124),"",COUNTIFS(C$2:C124,C124))</f>
        <v/>
      </c>
      <c r="N124" t="str">
        <f>IF(ISBLANK(C124),"",IF(B124=2,20,15)-COUNTIFS(C$2:C124,C124))</f>
        <v/>
      </c>
    </row>
    <row r="125" spans="1:14" x14ac:dyDescent="0.35">
      <c r="A125">
        <f t="shared" si="15"/>
        <v>124</v>
      </c>
      <c r="I125" s="2">
        <f t="shared" si="16"/>
        <v>3.2640019026741922</v>
      </c>
      <c r="J125" s="3">
        <f t="shared" si="17"/>
        <v>-375.32570763957165</v>
      </c>
      <c r="K125" s="3">
        <f t="shared" si="18"/>
        <v>30.680976164379786</v>
      </c>
      <c r="L125" t="str">
        <f t="shared" si="19"/>
        <v/>
      </c>
      <c r="M125" t="str">
        <f>IF(ISBLANK(C125),"",COUNTIFS(C$2:C125,C125))</f>
        <v/>
      </c>
      <c r="N125" t="str">
        <f>IF(ISBLANK(C125),"",IF(B125=2,20,15)-COUNTIFS(C$2:C125,C125))</f>
        <v/>
      </c>
    </row>
    <row r="126" spans="1:14" x14ac:dyDescent="0.35">
      <c r="A126">
        <f t="shared" si="15"/>
        <v>125</v>
      </c>
      <c r="I126" s="2">
        <f t="shared" si="16"/>
        <v>3.9852278589458727</v>
      </c>
      <c r="J126" s="3">
        <f t="shared" si="17"/>
        <v>-350.74790668016931</v>
      </c>
      <c r="K126" s="3">
        <f t="shared" si="18"/>
        <v>35.331532582702224</v>
      </c>
      <c r="L126" t="str">
        <f t="shared" si="19"/>
        <v/>
      </c>
      <c r="M126" t="str">
        <f>IF(ISBLANK(C126),"",COUNTIFS(C$2:C126,C126))</f>
        <v/>
      </c>
      <c r="N126" t="str">
        <f>IF(ISBLANK(C126),"",IF(B126=2,20,15)-COUNTIFS(C$2:C126,C126))</f>
        <v/>
      </c>
    </row>
    <row r="127" spans="1:14" x14ac:dyDescent="0.35">
      <c r="A127">
        <f t="shared" si="15"/>
        <v>126</v>
      </c>
      <c r="I127" s="2">
        <f t="shared" si="16"/>
        <v>2.6279928461349007</v>
      </c>
      <c r="J127" s="3">
        <f t="shared" si="17"/>
        <v>-378.13162994783323</v>
      </c>
      <c r="K127" s="3">
        <f t="shared" si="18"/>
        <v>31.321834963180272</v>
      </c>
      <c r="L127" t="str">
        <f t="shared" si="19"/>
        <v/>
      </c>
      <c r="M127" t="str">
        <f>IF(ISBLANK(C127),"",COUNTIFS(C$2:C127,C127))</f>
        <v/>
      </c>
      <c r="N127" t="str">
        <f>IF(ISBLANK(C127),"",IF(B127=2,20,15)-COUNTIFS(C$2:C127,C127))</f>
        <v/>
      </c>
    </row>
    <row r="128" spans="1:14" x14ac:dyDescent="0.35">
      <c r="A128">
        <f t="shared" si="15"/>
        <v>127</v>
      </c>
      <c r="I128" s="2">
        <f t="shared" si="16"/>
        <v>3.3492188024065808</v>
      </c>
      <c r="J128" s="3">
        <f t="shared" si="17"/>
        <v>-353.55382898843089</v>
      </c>
      <c r="K128" s="3">
        <f t="shared" si="18"/>
        <v>35.972391381502703</v>
      </c>
      <c r="L128" t="str">
        <f t="shared" si="19"/>
        <v/>
      </c>
      <c r="M128" t="str">
        <f>IF(ISBLANK(C128),"",COUNTIFS(C$2:C128,C128))</f>
        <v/>
      </c>
      <c r="N128" t="str">
        <f>IF(ISBLANK(C128),"",IF(B128=2,20,15)-COUNTIFS(C$2:C128,C128))</f>
        <v/>
      </c>
    </row>
    <row r="129" spans="1:14" x14ac:dyDescent="0.35">
      <c r="A129">
        <f t="shared" si="15"/>
        <v>128</v>
      </c>
      <c r="I129" s="2">
        <f t="shared" si="16"/>
        <v>4.0704447586782617</v>
      </c>
      <c r="J129" s="3">
        <f t="shared" si="17"/>
        <v>-380.93755225609482</v>
      </c>
      <c r="K129" s="3">
        <f t="shared" si="18"/>
        <v>31.962693761980756</v>
      </c>
      <c r="L129" t="str">
        <f t="shared" si="19"/>
        <v/>
      </c>
      <c r="M129" t="str">
        <f>IF(ISBLANK(C129),"",COUNTIFS(C$2:C129,C129))</f>
        <v/>
      </c>
      <c r="N129" t="str">
        <f>IF(ISBLANK(C129),"",IF(B129=2,20,15)-COUNTIFS(C$2:C129,C129))</f>
        <v/>
      </c>
    </row>
    <row r="130" spans="1:14" x14ac:dyDescent="0.35">
      <c r="A130">
        <f t="shared" ref="A130:A161" si="20">ROW()-1</f>
        <v>129</v>
      </c>
      <c r="I130" s="2">
        <f t="shared" ref="I130:I161" si="21">IF(L130&lt;&gt;"","",8+0.1*(((D130)-12.5)/7.5)+3*(((E130)-20)/20)+2*(((F130)-2.25)/1.75)+(-0.2)*(((G130)-12.5)/12.5)+0.2*(((H130)-130)/30)+1.5*(((E130)-20)/20)*(((F130)-2.25)/1.75)+((MOD(ROW()*12347,1000)/1000-0.5)*2*0.6*SQRT(3)))</f>
        <v>2.7132097458672892</v>
      </c>
      <c r="J130" s="3">
        <f t="shared" ref="J130:J161" si="22">IF(L130&lt;&gt;"","",380+3*(((D130)-12.5)/7.5)+8*(((H130)-130)/30)+(-100)*((((E130)-20)/20)-(-0.5))^2+(-150)*((((F130)-2.25)/1.75)-(0.5))^2+(-80)*((((G130)-12.5)/12.5)-(0.5))^2+(-10)*(((E130)-20)/20)*(((F130)-2.25)/1.75)+((MOD(ROW()*23473,1000)/1000-0.5)*2*15*SQRT(3)))</f>
        <v>-356.35975129669248</v>
      </c>
      <c r="K130" s="3">
        <f t="shared" ref="K130:K161" si="23">IF(L130&lt;&gt;"","",55+0.5*(((D130)-12.5)/7.5)+12*(((E130)-20)/20)+5*(((F130)-2.25)/1.75)+(-3)*(((G130)-12.5)/12.5)+2*(((H130)-130)/30)+3*(((E130)-20)/20)*(((F130)-2.25)/1.75)+((MOD(ROW()*34537,1000)/1000-0.5)*2*2.5*SQRT(3)))</f>
        <v>36.61325018030319</v>
      </c>
      <c r="L130" t="str">
        <f t="shared" ref="L130:L161" si="24">IF(OR(ISBLANK(D130),ISBLANK(E130),ISBLANK(F130),ISBLANK(G130),ISBLANK(H130)),"",IF(D130&gt;20,"latex &gt; 20% — mixture unstable",IF(OR(D130&lt;5,E130&lt;0,E130&gt;40,F130&lt;0.5,F130&gt;4,G130&lt;0,G130&gt;25,H130&lt;100,H130&gt;160),"out of range","")))</f>
        <v/>
      </c>
      <c r="M130" t="str">
        <f>IF(ISBLANK(C130),"",COUNTIFS(C$2:C130,C130))</f>
        <v/>
      </c>
      <c r="N130" t="str">
        <f>IF(ISBLANK(C130),"",IF(B130=2,20,15)-COUNTIFS(C$2:C130,C130))</f>
        <v/>
      </c>
    </row>
    <row r="131" spans="1:14" x14ac:dyDescent="0.35">
      <c r="A131">
        <f t="shared" si="20"/>
        <v>130</v>
      </c>
      <c r="I131" s="2">
        <f t="shared" si="21"/>
        <v>3.4344357021389698</v>
      </c>
      <c r="J131" s="3">
        <f t="shared" si="22"/>
        <v>-331.78195033729008</v>
      </c>
      <c r="K131" s="3">
        <f t="shared" si="23"/>
        <v>32.603552560781239</v>
      </c>
      <c r="L131" t="str">
        <f t="shared" si="24"/>
        <v/>
      </c>
      <c r="M131" t="str">
        <f>IF(ISBLANK(C131),"",COUNTIFS(C$2:C131,C131))</f>
        <v/>
      </c>
      <c r="N131" t="str">
        <f>IF(ISBLANK(C131),"",IF(B131=2,20,15)-COUNTIFS(C$2:C131,C131))</f>
        <v/>
      </c>
    </row>
    <row r="132" spans="1:14" x14ac:dyDescent="0.35">
      <c r="A132">
        <f t="shared" si="20"/>
        <v>131</v>
      </c>
      <c r="I132" s="2">
        <f t="shared" si="21"/>
        <v>4.1556616584106507</v>
      </c>
      <c r="J132" s="3">
        <f t="shared" si="22"/>
        <v>-359.16567360495407</v>
      </c>
      <c r="K132" s="3">
        <f t="shared" si="23"/>
        <v>37.254108979103677</v>
      </c>
      <c r="L132" t="str">
        <f t="shared" si="24"/>
        <v/>
      </c>
      <c r="M132" t="str">
        <f>IF(ISBLANK(C132),"",COUNTIFS(C$2:C132,C132))</f>
        <v/>
      </c>
      <c r="N132" t="str">
        <f>IF(ISBLANK(C132),"",IF(B132=2,20,15)-COUNTIFS(C$2:C132,C132))</f>
        <v/>
      </c>
    </row>
    <row r="133" spans="1:14" x14ac:dyDescent="0.35">
      <c r="A133">
        <f t="shared" si="20"/>
        <v>132</v>
      </c>
      <c r="I133" s="2">
        <f t="shared" si="21"/>
        <v>2.7984266455996778</v>
      </c>
      <c r="J133" s="3">
        <f t="shared" si="22"/>
        <v>-334.58787264555167</v>
      </c>
      <c r="K133" s="3">
        <f t="shared" si="23"/>
        <v>33.244411359581726</v>
      </c>
      <c r="L133" t="str">
        <f t="shared" si="24"/>
        <v/>
      </c>
      <c r="M133" t="str">
        <f>IF(ISBLANK(C133),"",COUNTIFS(C$2:C133,C133))</f>
        <v/>
      </c>
      <c r="N133" t="str">
        <f>IF(ISBLANK(C133),"",IF(B133=2,20,15)-COUNTIFS(C$2:C133,C133))</f>
        <v/>
      </c>
    </row>
    <row r="134" spans="1:14" x14ac:dyDescent="0.35">
      <c r="A134">
        <f t="shared" si="20"/>
        <v>133</v>
      </c>
      <c r="I134" s="2">
        <f t="shared" si="21"/>
        <v>3.5196526018713583</v>
      </c>
      <c r="J134" s="3">
        <f t="shared" si="22"/>
        <v>-361.97159591321565</v>
      </c>
      <c r="K134" s="3">
        <f t="shared" si="23"/>
        <v>37.894967777904156</v>
      </c>
      <c r="L134" t="str">
        <f t="shared" si="24"/>
        <v/>
      </c>
      <c r="M134" t="str">
        <f>IF(ISBLANK(C134),"",COUNTIFS(C$2:C134,C134))</f>
        <v/>
      </c>
      <c r="N134" t="str">
        <f>IF(ISBLANK(C134),"",IF(B134=2,20,15)-COUNTIFS(C$2:C134,C134))</f>
        <v/>
      </c>
    </row>
    <row r="135" spans="1:14" x14ac:dyDescent="0.35">
      <c r="A135">
        <f t="shared" si="20"/>
        <v>134</v>
      </c>
      <c r="I135" s="2">
        <f t="shared" si="21"/>
        <v>4.2408785581430388</v>
      </c>
      <c r="J135" s="3">
        <f t="shared" si="22"/>
        <v>-337.39379495381326</v>
      </c>
      <c r="K135" s="3">
        <f t="shared" si="23"/>
        <v>33.885270158382205</v>
      </c>
      <c r="L135" t="str">
        <f t="shared" si="24"/>
        <v/>
      </c>
      <c r="M135" t="str">
        <f>IF(ISBLANK(C135),"",COUNTIFS(C$2:C135,C135))</f>
        <v/>
      </c>
      <c r="N135" t="str">
        <f>IF(ISBLANK(C135),"",IF(B135=2,20,15)-COUNTIFS(C$2:C135,C135))</f>
        <v/>
      </c>
    </row>
    <row r="136" spans="1:14" x14ac:dyDescent="0.35">
      <c r="A136">
        <f t="shared" si="20"/>
        <v>135</v>
      </c>
      <c r="I136" s="2">
        <f t="shared" si="21"/>
        <v>2.8836435453320668</v>
      </c>
      <c r="J136" s="3">
        <f t="shared" si="22"/>
        <v>-364.77751822147724</v>
      </c>
      <c r="K136" s="3">
        <f t="shared" si="23"/>
        <v>29.875572538860258</v>
      </c>
      <c r="L136" t="str">
        <f t="shared" si="24"/>
        <v/>
      </c>
      <c r="M136" t="str">
        <f>IF(ISBLANK(C136),"",COUNTIFS(C$2:C136,C136))</f>
        <v/>
      </c>
      <c r="N136" t="str">
        <f>IF(ISBLANK(C136),"",IF(B136=2,20,15)-COUNTIFS(C$2:C136,C136))</f>
        <v/>
      </c>
    </row>
    <row r="137" spans="1:14" x14ac:dyDescent="0.35">
      <c r="A137">
        <f t="shared" si="20"/>
        <v>136</v>
      </c>
      <c r="I137" s="2">
        <f t="shared" si="21"/>
        <v>3.6048695016037473</v>
      </c>
      <c r="J137" s="3">
        <f t="shared" si="22"/>
        <v>-340.19971726207484</v>
      </c>
      <c r="K137" s="3">
        <f t="shared" si="23"/>
        <v>34.526128957182692</v>
      </c>
      <c r="L137" t="str">
        <f t="shared" si="24"/>
        <v/>
      </c>
      <c r="M137" t="str">
        <f>IF(ISBLANK(C137),"",COUNTIFS(C$2:C137,C137))</f>
        <v/>
      </c>
      <c r="N137" t="str">
        <f>IF(ISBLANK(C137),"",IF(B137=2,20,15)-COUNTIFS(C$2:C137,C137))</f>
        <v/>
      </c>
    </row>
    <row r="138" spans="1:14" x14ac:dyDescent="0.35">
      <c r="A138">
        <f t="shared" si="20"/>
        <v>137</v>
      </c>
      <c r="I138" s="2">
        <f t="shared" si="21"/>
        <v>4.3260954578754278</v>
      </c>
      <c r="J138" s="3">
        <f t="shared" si="22"/>
        <v>-367.58344052973877</v>
      </c>
      <c r="K138" s="3">
        <f t="shared" si="23"/>
        <v>30.516431337660741</v>
      </c>
      <c r="L138" t="str">
        <f t="shared" si="24"/>
        <v/>
      </c>
      <c r="M138" t="str">
        <f>IF(ISBLANK(C138),"",COUNTIFS(C$2:C138,C138))</f>
        <v/>
      </c>
      <c r="N138" t="str">
        <f>IF(ISBLANK(C138),"",IF(B138=2,20,15)-COUNTIFS(C$2:C138,C138))</f>
        <v/>
      </c>
    </row>
    <row r="139" spans="1:14" x14ac:dyDescent="0.35">
      <c r="A139">
        <f t="shared" si="20"/>
        <v>138</v>
      </c>
      <c r="I139" s="2">
        <f t="shared" si="21"/>
        <v>2.9688604450644553</v>
      </c>
      <c r="J139" s="3">
        <f t="shared" si="22"/>
        <v>-343.00563957033643</v>
      </c>
      <c r="K139" s="3">
        <f t="shared" si="23"/>
        <v>35.166987755983179</v>
      </c>
      <c r="L139" t="str">
        <f t="shared" si="24"/>
        <v/>
      </c>
      <c r="M139" t="str">
        <f>IF(ISBLANK(C139),"",COUNTIFS(C$2:C139,C139))</f>
        <v/>
      </c>
      <c r="N139" t="str">
        <f>IF(ISBLANK(C139),"",IF(B139=2,20,15)-COUNTIFS(C$2:C139,C139))</f>
        <v/>
      </c>
    </row>
    <row r="140" spans="1:14" x14ac:dyDescent="0.35">
      <c r="A140">
        <f t="shared" si="20"/>
        <v>139</v>
      </c>
      <c r="I140" s="2">
        <f t="shared" si="21"/>
        <v>3.6900864013361359</v>
      </c>
      <c r="J140" s="3">
        <f t="shared" si="22"/>
        <v>-370.38936283800035</v>
      </c>
      <c r="K140" s="3">
        <f t="shared" si="23"/>
        <v>31.157290136461228</v>
      </c>
      <c r="L140" t="str">
        <f t="shared" si="24"/>
        <v/>
      </c>
      <c r="M140" t="str">
        <f>IF(ISBLANK(C140),"",COUNTIFS(C$2:C140,C140))</f>
        <v/>
      </c>
      <c r="N140" t="str">
        <f>IF(ISBLANK(C140),"",IF(B140=2,20,15)-COUNTIFS(C$2:C140,C140))</f>
        <v/>
      </c>
    </row>
    <row r="141" spans="1:14" x14ac:dyDescent="0.35">
      <c r="A141">
        <f t="shared" si="20"/>
        <v>140</v>
      </c>
      <c r="I141" s="2">
        <f t="shared" si="21"/>
        <v>4.4113123576078168</v>
      </c>
      <c r="J141" s="3">
        <f t="shared" si="22"/>
        <v>-345.81156187859801</v>
      </c>
      <c r="K141" s="3">
        <f t="shared" si="23"/>
        <v>35.807846554783666</v>
      </c>
      <c r="L141" t="str">
        <f t="shared" si="24"/>
        <v/>
      </c>
      <c r="M141" t="str">
        <f>IF(ISBLANK(C141),"",COUNTIFS(C$2:C141,C141))</f>
        <v/>
      </c>
      <c r="N141" t="str">
        <f>IF(ISBLANK(C141),"",IF(B141=2,20,15)-COUNTIFS(C$2:C141,C141))</f>
        <v/>
      </c>
    </row>
    <row r="142" spans="1:14" x14ac:dyDescent="0.35">
      <c r="A142">
        <f t="shared" si="20"/>
        <v>141</v>
      </c>
      <c r="I142" s="2">
        <f t="shared" si="21"/>
        <v>3.0540773447968443</v>
      </c>
      <c r="J142" s="3">
        <f t="shared" si="22"/>
        <v>-373.19528514626194</v>
      </c>
      <c r="K142" s="3">
        <f t="shared" si="23"/>
        <v>31.798148935261711</v>
      </c>
      <c r="L142" t="str">
        <f t="shared" si="24"/>
        <v/>
      </c>
      <c r="M142" t="str">
        <f>IF(ISBLANK(C142),"",COUNTIFS(C$2:C142,C142))</f>
        <v/>
      </c>
      <c r="N142" t="str">
        <f>IF(ISBLANK(C142),"",IF(B142=2,20,15)-COUNTIFS(C$2:C142,C142))</f>
        <v/>
      </c>
    </row>
    <row r="143" spans="1:14" x14ac:dyDescent="0.35">
      <c r="A143">
        <f t="shared" si="20"/>
        <v>142</v>
      </c>
      <c r="I143" s="2">
        <f t="shared" si="21"/>
        <v>3.7753033010685249</v>
      </c>
      <c r="J143" s="3">
        <f t="shared" si="22"/>
        <v>-348.6174841868596</v>
      </c>
      <c r="K143" s="3">
        <f t="shared" si="23"/>
        <v>36.448705353584145</v>
      </c>
      <c r="L143" t="str">
        <f t="shared" si="24"/>
        <v/>
      </c>
      <c r="M143" t="str">
        <f>IF(ISBLANK(C143),"",COUNTIFS(C$2:C143,C143))</f>
        <v/>
      </c>
      <c r="N143" t="str">
        <f>IF(ISBLANK(C143),"",IF(B143=2,20,15)-COUNTIFS(C$2:C143,C143))</f>
        <v/>
      </c>
    </row>
    <row r="144" spans="1:14" x14ac:dyDescent="0.35">
      <c r="A144">
        <f t="shared" si="20"/>
        <v>143</v>
      </c>
      <c r="I144" s="2">
        <f t="shared" si="21"/>
        <v>4.4965292573402049</v>
      </c>
      <c r="J144" s="3">
        <f t="shared" si="22"/>
        <v>-376.00120745452352</v>
      </c>
      <c r="K144" s="3">
        <f t="shared" si="23"/>
        <v>32.439007734062194</v>
      </c>
      <c r="L144" t="str">
        <f t="shared" si="24"/>
        <v/>
      </c>
      <c r="M144" t="str">
        <f>IF(ISBLANK(C144),"",COUNTIFS(C$2:C144,C144))</f>
        <v/>
      </c>
      <c r="N144" t="str">
        <f>IF(ISBLANK(C144),"",IF(B144=2,20,15)-COUNTIFS(C$2:C144,C144))</f>
        <v/>
      </c>
    </row>
    <row r="145" spans="1:14" x14ac:dyDescent="0.35">
      <c r="A145">
        <f t="shared" si="20"/>
        <v>144</v>
      </c>
      <c r="I145" s="2">
        <f t="shared" si="21"/>
        <v>3.1392942445292329</v>
      </c>
      <c r="J145" s="3">
        <f t="shared" si="22"/>
        <v>-351.42340649512118</v>
      </c>
      <c r="K145" s="3">
        <f t="shared" si="23"/>
        <v>37.089564152384632</v>
      </c>
      <c r="L145" t="str">
        <f t="shared" si="24"/>
        <v/>
      </c>
      <c r="M145" t="str">
        <f>IF(ISBLANK(C145),"",COUNTIFS(C$2:C145,C145))</f>
        <v/>
      </c>
      <c r="N145" t="str">
        <f>IF(ISBLANK(C145),"",IF(B145=2,20,15)-COUNTIFS(C$2:C145,C145))</f>
        <v/>
      </c>
    </row>
    <row r="146" spans="1:14" x14ac:dyDescent="0.35">
      <c r="A146">
        <f t="shared" si="20"/>
        <v>145</v>
      </c>
      <c r="I146" s="2">
        <f t="shared" si="21"/>
        <v>3.8605202008009134</v>
      </c>
      <c r="J146" s="3">
        <f t="shared" si="22"/>
        <v>-378.80712976278511</v>
      </c>
      <c r="K146" s="3">
        <f t="shared" si="23"/>
        <v>33.079866532862681</v>
      </c>
      <c r="L146" t="str">
        <f t="shared" si="24"/>
        <v/>
      </c>
      <c r="M146" t="str">
        <f>IF(ISBLANK(C146),"",COUNTIFS(C$2:C146,C146))</f>
        <v/>
      </c>
      <c r="N146" t="str">
        <f>IF(ISBLANK(C146),"",IF(B146=2,20,15)-COUNTIFS(C$2:C146,C146))</f>
        <v/>
      </c>
    </row>
    <row r="147" spans="1:14" x14ac:dyDescent="0.35">
      <c r="A147">
        <f t="shared" si="20"/>
        <v>146</v>
      </c>
      <c r="I147" s="2">
        <f t="shared" si="21"/>
        <v>2.5032851879899414</v>
      </c>
      <c r="J147" s="3">
        <f t="shared" si="22"/>
        <v>-354.22932880338277</v>
      </c>
      <c r="K147" s="3">
        <f t="shared" si="23"/>
        <v>37.730422951185119</v>
      </c>
      <c r="L147" t="str">
        <f t="shared" si="24"/>
        <v/>
      </c>
      <c r="M147" t="str">
        <f>IF(ISBLANK(C147),"",COUNTIFS(C$2:C147,C147))</f>
        <v/>
      </c>
      <c r="N147" t="str">
        <f>IF(ISBLANK(C147),"",IF(B147=2,20,15)-COUNTIFS(C$2:C147,C147))</f>
        <v/>
      </c>
    </row>
    <row r="148" spans="1:14" x14ac:dyDescent="0.35">
      <c r="A148">
        <f t="shared" si="20"/>
        <v>147</v>
      </c>
      <c r="I148" s="2">
        <f t="shared" si="21"/>
        <v>3.2245111442616219</v>
      </c>
      <c r="J148" s="3">
        <f t="shared" si="22"/>
        <v>-381.6130520710467</v>
      </c>
      <c r="K148" s="3">
        <f t="shared" si="23"/>
        <v>33.720725331663168</v>
      </c>
      <c r="L148" t="str">
        <f t="shared" si="24"/>
        <v/>
      </c>
      <c r="M148" t="str">
        <f>IF(ISBLANK(C148),"",COUNTIFS(C$2:C148,C148))</f>
        <v/>
      </c>
      <c r="N148" t="str">
        <f>IF(ISBLANK(C148),"",IF(B148=2,20,15)-COUNTIFS(C$2:C148,C148))</f>
        <v/>
      </c>
    </row>
    <row r="149" spans="1:14" x14ac:dyDescent="0.35">
      <c r="A149">
        <f t="shared" si="20"/>
        <v>148</v>
      </c>
      <c r="I149" s="2">
        <f t="shared" si="21"/>
        <v>3.945737100533302</v>
      </c>
      <c r="J149" s="3">
        <f t="shared" si="22"/>
        <v>-357.03525111164436</v>
      </c>
      <c r="K149" s="3">
        <f t="shared" si="23"/>
        <v>29.711027712141217</v>
      </c>
      <c r="L149" t="str">
        <f t="shared" si="24"/>
        <v/>
      </c>
      <c r="M149" t="str">
        <f>IF(ISBLANK(C149),"",COUNTIFS(C$2:C149,C149))</f>
        <v/>
      </c>
      <c r="N149" t="str">
        <f>IF(ISBLANK(C149),"",IF(B149=2,20,15)-COUNTIFS(C$2:C149,C149))</f>
        <v/>
      </c>
    </row>
    <row r="150" spans="1:14" x14ac:dyDescent="0.35">
      <c r="A150">
        <f t="shared" si="20"/>
        <v>149</v>
      </c>
      <c r="I150" s="2">
        <f t="shared" si="21"/>
        <v>2.5885020877223299</v>
      </c>
      <c r="J150" s="3">
        <f t="shared" si="22"/>
        <v>-332.45745015224196</v>
      </c>
      <c r="K150" s="3">
        <f t="shared" si="23"/>
        <v>34.361584130463648</v>
      </c>
      <c r="L150" t="str">
        <f t="shared" si="24"/>
        <v/>
      </c>
      <c r="M150" t="str">
        <f>IF(ISBLANK(C150),"",COUNTIFS(C$2:C150,C150))</f>
        <v/>
      </c>
      <c r="N150" t="str">
        <f>IF(ISBLANK(C150),"",IF(B150=2,20,15)-COUNTIFS(C$2:C150,C150))</f>
        <v/>
      </c>
    </row>
    <row r="151" spans="1:14" x14ac:dyDescent="0.35">
      <c r="A151">
        <f t="shared" si="20"/>
        <v>150</v>
      </c>
      <c r="I151" s="2">
        <f t="shared" si="21"/>
        <v>3.3097280439940104</v>
      </c>
      <c r="J151" s="3">
        <f t="shared" si="22"/>
        <v>-359.84117341990589</v>
      </c>
      <c r="K151" s="3">
        <f t="shared" si="23"/>
        <v>30.3518865109417</v>
      </c>
      <c r="L151" t="str">
        <f t="shared" si="24"/>
        <v/>
      </c>
      <c r="M151" t="str">
        <f>IF(ISBLANK(C151),"",COUNTIFS(C$2:C151,C151))</f>
        <v/>
      </c>
      <c r="N151" t="str">
        <f>IF(ISBLANK(C151),"",IF(B151=2,20,15)-COUNTIFS(C$2:C151,C151))</f>
        <v/>
      </c>
    </row>
    <row r="152" spans="1:14" x14ac:dyDescent="0.35">
      <c r="A152">
        <f t="shared" si="20"/>
        <v>151</v>
      </c>
      <c r="I152" s="2">
        <f t="shared" si="21"/>
        <v>4.030954000265691</v>
      </c>
      <c r="J152" s="3">
        <f t="shared" si="22"/>
        <v>-335.26337246050355</v>
      </c>
      <c r="K152" s="3">
        <f t="shared" si="23"/>
        <v>35.002442929264134</v>
      </c>
      <c r="L152" t="str">
        <f t="shared" si="24"/>
        <v/>
      </c>
      <c r="M152" t="str">
        <f>IF(ISBLANK(C152),"",COUNTIFS(C$2:C152,C152))</f>
        <v/>
      </c>
      <c r="N152" t="str">
        <f>IF(ISBLANK(C152),"",IF(B152=2,20,15)-COUNTIFS(C$2:C152,C152))</f>
        <v/>
      </c>
    </row>
    <row r="153" spans="1:14" x14ac:dyDescent="0.35">
      <c r="A153">
        <f t="shared" si="20"/>
        <v>152</v>
      </c>
      <c r="I153" s="2">
        <f t="shared" si="21"/>
        <v>2.6737189874547189</v>
      </c>
      <c r="J153" s="3">
        <f t="shared" si="22"/>
        <v>-362.64709572816747</v>
      </c>
      <c r="K153" s="3">
        <f t="shared" si="23"/>
        <v>30.992745309742183</v>
      </c>
      <c r="L153" t="str">
        <f t="shared" si="24"/>
        <v/>
      </c>
      <c r="M153" t="str">
        <f>IF(ISBLANK(C153),"",COUNTIFS(C$2:C153,C153))</f>
        <v/>
      </c>
      <c r="N153" t="str">
        <f>IF(ISBLANK(C153),"",IF(B153=2,20,15)-COUNTIFS(C$2:C153,C153))</f>
        <v/>
      </c>
    </row>
    <row r="154" spans="1:14" x14ac:dyDescent="0.35">
      <c r="A154">
        <f t="shared" si="20"/>
        <v>153</v>
      </c>
      <c r="I154" s="2">
        <f t="shared" si="21"/>
        <v>3.3949449437263994</v>
      </c>
      <c r="J154" s="3">
        <f t="shared" si="22"/>
        <v>-338.06929476876513</v>
      </c>
      <c r="K154" s="3">
        <f t="shared" si="23"/>
        <v>35.643301728064621</v>
      </c>
      <c r="L154" t="str">
        <f t="shared" si="24"/>
        <v/>
      </c>
      <c r="M154" t="str">
        <f>IF(ISBLANK(C154),"",COUNTIFS(C$2:C154,C154))</f>
        <v/>
      </c>
      <c r="N154" t="str">
        <f>IF(ISBLANK(C154),"",IF(B154=2,20,15)-COUNTIFS(C$2:C154,C154))</f>
        <v/>
      </c>
    </row>
    <row r="155" spans="1:14" x14ac:dyDescent="0.35">
      <c r="A155">
        <f t="shared" si="20"/>
        <v>154</v>
      </c>
      <c r="I155" s="2">
        <f t="shared" si="21"/>
        <v>4.1161708999980799</v>
      </c>
      <c r="J155" s="3">
        <f t="shared" si="22"/>
        <v>-365.45301803642906</v>
      </c>
      <c r="K155" s="3">
        <f t="shared" si="23"/>
        <v>31.633604108542666</v>
      </c>
      <c r="L155" t="str">
        <f t="shared" si="24"/>
        <v/>
      </c>
      <c r="M155" t="str">
        <f>IF(ISBLANK(C155),"",COUNTIFS(C$2:C155,C155))</f>
        <v/>
      </c>
      <c r="N155" t="str">
        <f>IF(ISBLANK(C155),"",IF(B155=2,20,15)-COUNTIFS(C$2:C155,C155))</f>
        <v/>
      </c>
    </row>
    <row r="156" spans="1:14" x14ac:dyDescent="0.35">
      <c r="A156">
        <f t="shared" si="20"/>
        <v>155</v>
      </c>
      <c r="I156" s="2">
        <f t="shared" si="21"/>
        <v>2.7589358871871075</v>
      </c>
      <c r="J156" s="3">
        <f t="shared" si="22"/>
        <v>-340.87521707702672</v>
      </c>
      <c r="K156" s="3">
        <f t="shared" si="23"/>
        <v>36.284160526865101</v>
      </c>
      <c r="L156" t="str">
        <f t="shared" si="24"/>
        <v/>
      </c>
      <c r="M156" t="str">
        <f>IF(ISBLANK(C156),"",COUNTIFS(C$2:C156,C156))</f>
        <v/>
      </c>
      <c r="N156" t="str">
        <f>IF(ISBLANK(C156),"",IF(B156=2,20,15)-COUNTIFS(C$2:C156,C156))</f>
        <v/>
      </c>
    </row>
    <row r="157" spans="1:14" x14ac:dyDescent="0.35">
      <c r="A157">
        <f t="shared" si="20"/>
        <v>156</v>
      </c>
      <c r="I157" s="2">
        <f t="shared" si="21"/>
        <v>3.480161843458788</v>
      </c>
      <c r="J157" s="3">
        <f t="shared" si="22"/>
        <v>-368.25894034469064</v>
      </c>
      <c r="K157" s="3">
        <f t="shared" si="23"/>
        <v>32.27446290734315</v>
      </c>
      <c r="L157" t="str">
        <f t="shared" si="24"/>
        <v/>
      </c>
      <c r="M157" t="str">
        <f>IF(ISBLANK(C157),"",COUNTIFS(C$2:C157,C157))</f>
        <v/>
      </c>
      <c r="N157" t="str">
        <f>IF(ISBLANK(C157),"",IF(B157=2,20,15)-COUNTIFS(C$2:C157,C157))</f>
        <v/>
      </c>
    </row>
    <row r="158" spans="1:14" x14ac:dyDescent="0.35">
      <c r="A158">
        <f t="shared" si="20"/>
        <v>157</v>
      </c>
      <c r="I158" s="2">
        <f t="shared" si="21"/>
        <v>4.2013877997304681</v>
      </c>
      <c r="J158" s="3">
        <f t="shared" si="22"/>
        <v>-343.6811393852883</v>
      </c>
      <c r="K158" s="3">
        <f t="shared" si="23"/>
        <v>36.925019325665588</v>
      </c>
      <c r="L158" t="str">
        <f t="shared" si="24"/>
        <v/>
      </c>
      <c r="M158" t="str">
        <f>IF(ISBLANK(C158),"",COUNTIFS(C$2:C158,C158))</f>
        <v/>
      </c>
      <c r="N158" t="str">
        <f>IF(ISBLANK(C158),"",IF(B158=2,20,15)-COUNTIFS(C$2:C158,C158))</f>
        <v/>
      </c>
    </row>
    <row r="159" spans="1:14" x14ac:dyDescent="0.35">
      <c r="A159">
        <f t="shared" si="20"/>
        <v>158</v>
      </c>
      <c r="I159" s="2">
        <f t="shared" si="21"/>
        <v>2.844152786919496</v>
      </c>
      <c r="J159" s="3">
        <f t="shared" si="22"/>
        <v>-371.06486265295223</v>
      </c>
      <c r="K159" s="3">
        <f t="shared" si="23"/>
        <v>32.915321706143637</v>
      </c>
      <c r="L159" t="str">
        <f t="shared" si="24"/>
        <v/>
      </c>
      <c r="M159" t="str">
        <f>IF(ISBLANK(C159),"",COUNTIFS(C$2:C159,C159))</f>
        <v/>
      </c>
      <c r="N159" t="str">
        <f>IF(ISBLANK(C159),"",IF(B159=2,20,15)-COUNTIFS(C$2:C159,C159))</f>
        <v/>
      </c>
    </row>
    <row r="160" spans="1:14" x14ac:dyDescent="0.35">
      <c r="A160">
        <f t="shared" si="20"/>
        <v>159</v>
      </c>
      <c r="I160" s="2">
        <f t="shared" si="21"/>
        <v>3.565378743191177</v>
      </c>
      <c r="J160" s="3">
        <f t="shared" si="22"/>
        <v>-346.48706169354989</v>
      </c>
      <c r="K160" s="3">
        <f t="shared" si="23"/>
        <v>37.565878124466074</v>
      </c>
      <c r="L160" t="str">
        <f t="shared" si="24"/>
        <v/>
      </c>
      <c r="M160" t="str">
        <f>IF(ISBLANK(C160),"",COUNTIFS(C$2:C160,C160))</f>
        <v/>
      </c>
      <c r="N160" t="str">
        <f>IF(ISBLANK(C160),"",IF(B160=2,20,15)-COUNTIFS(C$2:C160,C160))</f>
        <v/>
      </c>
    </row>
    <row r="161" spans="1:14" x14ac:dyDescent="0.35">
      <c r="A161">
        <f t="shared" si="20"/>
        <v>160</v>
      </c>
      <c r="I161" s="2">
        <f t="shared" si="21"/>
        <v>4.286604699462857</v>
      </c>
      <c r="J161" s="3">
        <f t="shared" si="22"/>
        <v>-373.87078496121381</v>
      </c>
      <c r="K161" s="3">
        <f t="shared" si="23"/>
        <v>33.556180504944123</v>
      </c>
      <c r="L161" t="str">
        <f t="shared" si="24"/>
        <v/>
      </c>
      <c r="M161" t="str">
        <f>IF(ISBLANK(C161),"",COUNTIFS(C$2:C161,C161))</f>
        <v/>
      </c>
      <c r="N161" t="str">
        <f>IF(ISBLANK(C161),"",IF(B161=2,20,15)-COUNTIFS(C$2:C161,C161))</f>
        <v/>
      </c>
    </row>
    <row r="162" spans="1:14" x14ac:dyDescent="0.35">
      <c r="A162">
        <f t="shared" ref="A162:A193" si="25">ROW()-1</f>
        <v>161</v>
      </c>
      <c r="I162" s="2">
        <f t="shared" ref="I162:I193" si="26">IF(L162&lt;&gt;"","",8+0.1*(((D162)-12.5)/7.5)+3*(((E162)-20)/20)+2*(((F162)-2.25)/1.75)+(-0.2)*(((G162)-12.5)/12.5)+0.2*(((H162)-130)/30)+1.5*(((E162)-20)/20)*(((F162)-2.25)/1.75)+((MOD(ROW()*12347,1000)/1000-0.5)*2*0.6*SQRT(3)))</f>
        <v>2.929369686651885</v>
      </c>
      <c r="J162" s="3">
        <f t="shared" ref="J162:J193" si="27">IF(L162&lt;&gt;"","",380+3*(((D162)-12.5)/7.5)+8*(((H162)-130)/30)+(-100)*((((E162)-20)/20)-(-0.5))^2+(-150)*((((F162)-2.25)/1.75)-(0.5))^2+(-80)*((((G162)-12.5)/12.5)-(0.5))^2+(-10)*(((E162)-20)/20)*(((F162)-2.25)/1.75)+((MOD(ROW()*23473,1000)/1000-0.5)*2*15*SQRT(3)))</f>
        <v>-349.29298400181148</v>
      </c>
      <c r="K162" s="3">
        <f t="shared" ref="K162:K193" si="28">IF(L162&lt;&gt;"","",55+0.5*(((D162)-12.5)/7.5)+12*(((E162)-20)/20)+5*(((F162)-2.25)/1.75)+(-3)*(((G162)-12.5)/12.5)+2*(((H162)-130)/30)+3*(((E162)-20)/20)*(((F162)-2.25)/1.75)+((MOD(ROW()*34537,1000)/1000-0.5)*2*2.5*SQRT(3)))</f>
        <v>38.206736923266554</v>
      </c>
      <c r="L162" t="str">
        <f t="shared" ref="L162:L193" si="29">IF(OR(ISBLANK(D162),ISBLANK(E162),ISBLANK(F162),ISBLANK(G162),ISBLANK(H162)),"",IF(D162&gt;20,"latex &gt; 20% — mixture unstable",IF(OR(D162&lt;5,E162&lt;0,E162&gt;40,F162&lt;0.5,F162&gt;4,G162&lt;0,G162&gt;25,H162&lt;100,H162&gt;160),"out of range","")))</f>
        <v/>
      </c>
      <c r="M162" t="str">
        <f>IF(ISBLANK(C162),"",COUNTIFS(C$2:C162,C162))</f>
        <v/>
      </c>
      <c r="N162" t="str">
        <f>IF(ISBLANK(C162),"",IF(B162=2,20,15)-COUNTIFS(C$2:C162,C162))</f>
        <v/>
      </c>
    </row>
    <row r="163" spans="1:14" x14ac:dyDescent="0.35">
      <c r="A163">
        <f t="shared" si="25"/>
        <v>162</v>
      </c>
      <c r="I163" s="2">
        <f t="shared" si="26"/>
        <v>3.6505956429235655</v>
      </c>
      <c r="J163" s="3">
        <f t="shared" si="27"/>
        <v>-376.6767072694754</v>
      </c>
      <c r="K163" s="3">
        <f t="shared" si="28"/>
        <v>34.19703930374461</v>
      </c>
      <c r="L163" t="str">
        <f t="shared" si="29"/>
        <v/>
      </c>
      <c r="M163" t="str">
        <f>IF(ISBLANK(C163),"",COUNTIFS(C$2:C163,C163))</f>
        <v/>
      </c>
      <c r="N163" t="str">
        <f>IF(ISBLANK(C163),"",IF(B163=2,20,15)-COUNTIFS(C$2:C163,C163))</f>
        <v/>
      </c>
    </row>
    <row r="164" spans="1:14" x14ac:dyDescent="0.35">
      <c r="A164">
        <f t="shared" si="25"/>
        <v>163</v>
      </c>
      <c r="I164" s="2">
        <f t="shared" si="26"/>
        <v>4.371821599195246</v>
      </c>
      <c r="J164" s="3">
        <f t="shared" si="27"/>
        <v>-352.098906310073</v>
      </c>
      <c r="K164" s="3">
        <f t="shared" si="28"/>
        <v>30.187341684222655</v>
      </c>
      <c r="L164" t="str">
        <f t="shared" si="29"/>
        <v/>
      </c>
      <c r="M164" t="str">
        <f>IF(ISBLANK(C164),"",COUNTIFS(C$2:C164,C164))</f>
        <v/>
      </c>
      <c r="N164" t="str">
        <f>IF(ISBLANK(C164),"",IF(B164=2,20,15)-COUNTIFS(C$2:C164,C164))</f>
        <v/>
      </c>
    </row>
    <row r="165" spans="1:14" x14ac:dyDescent="0.35">
      <c r="A165">
        <f t="shared" si="25"/>
        <v>164</v>
      </c>
      <c r="I165" s="2">
        <f t="shared" si="26"/>
        <v>3.014586586384274</v>
      </c>
      <c r="J165" s="3">
        <f t="shared" si="27"/>
        <v>-379.48262957773699</v>
      </c>
      <c r="K165" s="3">
        <f t="shared" si="28"/>
        <v>34.83789810254509</v>
      </c>
      <c r="L165" t="str">
        <f t="shared" si="29"/>
        <v/>
      </c>
      <c r="M165" t="str">
        <f>IF(ISBLANK(C165),"",COUNTIFS(C$2:C165,C165))</f>
        <v/>
      </c>
      <c r="N165" t="str">
        <f>IF(ISBLANK(C165),"",IF(B165=2,20,15)-COUNTIFS(C$2:C165,C165))</f>
        <v/>
      </c>
    </row>
    <row r="166" spans="1:14" x14ac:dyDescent="0.35">
      <c r="A166">
        <f t="shared" si="25"/>
        <v>165</v>
      </c>
      <c r="I166" s="2">
        <f t="shared" si="26"/>
        <v>3.7358125426559541</v>
      </c>
      <c r="J166" s="3">
        <f t="shared" si="27"/>
        <v>-354.90482861833459</v>
      </c>
      <c r="K166" s="3">
        <f t="shared" si="28"/>
        <v>30.828200483023139</v>
      </c>
      <c r="L166" t="str">
        <f t="shared" si="29"/>
        <v/>
      </c>
      <c r="M166" t="str">
        <f>IF(ISBLANK(C166),"",COUNTIFS(C$2:C166,C166))</f>
        <v/>
      </c>
      <c r="N166" t="str">
        <f>IF(ISBLANK(C166),"",IF(B166=2,20,15)-COUNTIFS(C$2:C166,C166))</f>
        <v/>
      </c>
    </row>
    <row r="167" spans="1:14" x14ac:dyDescent="0.35">
      <c r="A167">
        <f t="shared" si="25"/>
        <v>166</v>
      </c>
      <c r="I167" s="2">
        <f t="shared" si="26"/>
        <v>4.457038498927635</v>
      </c>
      <c r="J167" s="3">
        <f t="shared" si="27"/>
        <v>-330.32702765893225</v>
      </c>
      <c r="K167" s="3">
        <f t="shared" si="28"/>
        <v>35.478756901345577</v>
      </c>
      <c r="L167" t="str">
        <f t="shared" si="29"/>
        <v/>
      </c>
      <c r="M167" t="str">
        <f>IF(ISBLANK(C167),"",COUNTIFS(C$2:C167,C167))</f>
        <v/>
      </c>
      <c r="N167" t="str">
        <f>IF(ISBLANK(C167),"",IF(B167=2,20,15)-COUNTIFS(C$2:C167,C167))</f>
        <v/>
      </c>
    </row>
    <row r="168" spans="1:14" x14ac:dyDescent="0.35">
      <c r="A168">
        <f t="shared" si="25"/>
        <v>167</v>
      </c>
      <c r="I168" s="2">
        <f t="shared" si="26"/>
        <v>3.0998034861166626</v>
      </c>
      <c r="J168" s="3">
        <f t="shared" si="27"/>
        <v>-357.71075092659618</v>
      </c>
      <c r="K168" s="3">
        <f t="shared" si="28"/>
        <v>31.469059281823625</v>
      </c>
      <c r="L168" t="str">
        <f t="shared" si="29"/>
        <v/>
      </c>
      <c r="M168" t="str">
        <f>IF(ISBLANK(C168),"",COUNTIFS(C$2:C168,C168))</f>
        <v/>
      </c>
      <c r="N168" t="str">
        <f>IF(ISBLANK(C168),"",IF(B168=2,20,15)-COUNTIFS(C$2:C168,C168))</f>
        <v/>
      </c>
    </row>
    <row r="169" spans="1:14" x14ac:dyDescent="0.35">
      <c r="A169">
        <f t="shared" si="25"/>
        <v>168</v>
      </c>
      <c r="I169" s="2">
        <f t="shared" si="26"/>
        <v>3.8210294423883431</v>
      </c>
      <c r="J169" s="3">
        <f t="shared" si="27"/>
        <v>-333.13294996719384</v>
      </c>
      <c r="K169" s="3">
        <f t="shared" si="28"/>
        <v>36.119615700146063</v>
      </c>
      <c r="L169" t="str">
        <f t="shared" si="29"/>
        <v/>
      </c>
      <c r="M169" t="str">
        <f>IF(ISBLANK(C169),"",COUNTIFS(C$2:C169,C169))</f>
        <v/>
      </c>
      <c r="N169" t="str">
        <f>IF(ISBLANK(C169),"",IF(B169=2,20,15)-COUNTIFS(C$2:C169,C169))</f>
        <v/>
      </c>
    </row>
    <row r="170" spans="1:14" x14ac:dyDescent="0.35">
      <c r="A170">
        <f t="shared" si="25"/>
        <v>169</v>
      </c>
      <c r="I170" s="2">
        <f t="shared" si="26"/>
        <v>4.5422553986600231</v>
      </c>
      <c r="J170" s="3">
        <f t="shared" si="27"/>
        <v>-360.51667323485776</v>
      </c>
      <c r="K170" s="3">
        <f t="shared" si="28"/>
        <v>32.109918080624112</v>
      </c>
      <c r="L170" t="str">
        <f t="shared" si="29"/>
        <v/>
      </c>
      <c r="M170" t="str">
        <f>IF(ISBLANK(C170),"",COUNTIFS(C$2:C170,C170))</f>
        <v/>
      </c>
      <c r="N170" t="str">
        <f>IF(ISBLANK(C170),"",IF(B170=2,20,15)-COUNTIFS(C$2:C170,C170))</f>
        <v/>
      </c>
    </row>
    <row r="171" spans="1:14" x14ac:dyDescent="0.35">
      <c r="A171">
        <f t="shared" si="25"/>
        <v>170</v>
      </c>
      <c r="I171" s="2">
        <f t="shared" si="26"/>
        <v>3.1850203858490516</v>
      </c>
      <c r="J171" s="3">
        <f t="shared" si="27"/>
        <v>-335.93887227545542</v>
      </c>
      <c r="K171" s="3">
        <f t="shared" si="28"/>
        <v>36.760474498946543</v>
      </c>
      <c r="L171" t="str">
        <f t="shared" si="29"/>
        <v/>
      </c>
      <c r="M171" t="str">
        <f>IF(ISBLANK(C171),"",COUNTIFS(C$2:C171,C171))</f>
        <v/>
      </c>
      <c r="N171" t="str">
        <f>IF(ISBLANK(C171),"",IF(B171=2,20,15)-COUNTIFS(C$2:C171,C171))</f>
        <v/>
      </c>
    </row>
    <row r="172" spans="1:14" x14ac:dyDescent="0.35">
      <c r="A172">
        <f t="shared" si="25"/>
        <v>171</v>
      </c>
      <c r="I172" s="2">
        <f t="shared" si="26"/>
        <v>3.9062463421207321</v>
      </c>
      <c r="J172" s="3">
        <f t="shared" si="27"/>
        <v>-363.32259554311935</v>
      </c>
      <c r="K172" s="3">
        <f t="shared" si="28"/>
        <v>32.750776879424592</v>
      </c>
      <c r="L172" t="str">
        <f t="shared" si="29"/>
        <v/>
      </c>
      <c r="M172" t="str">
        <f>IF(ISBLANK(C172),"",COUNTIFS(C$2:C172,C172))</f>
        <v/>
      </c>
      <c r="N172" t="str">
        <f>IF(ISBLANK(C172),"",IF(B172=2,20,15)-COUNTIFS(C$2:C172,C172))</f>
        <v/>
      </c>
    </row>
    <row r="173" spans="1:14" x14ac:dyDescent="0.35">
      <c r="A173">
        <f t="shared" si="25"/>
        <v>172</v>
      </c>
      <c r="I173" s="2">
        <f t="shared" si="26"/>
        <v>2.5490113293097596</v>
      </c>
      <c r="J173" s="3">
        <f t="shared" si="27"/>
        <v>-338.74479458371701</v>
      </c>
      <c r="K173" s="3">
        <f t="shared" si="28"/>
        <v>37.40133329774703</v>
      </c>
      <c r="L173" t="str">
        <f t="shared" si="29"/>
        <v/>
      </c>
      <c r="M173" t="str">
        <f>IF(ISBLANK(C173),"",COUNTIFS(C$2:C173,C173))</f>
        <v/>
      </c>
      <c r="N173" t="str">
        <f>IF(ISBLANK(C173),"",IF(B173=2,20,15)-COUNTIFS(C$2:C173,C173))</f>
        <v/>
      </c>
    </row>
    <row r="174" spans="1:14" x14ac:dyDescent="0.35">
      <c r="A174">
        <f t="shared" si="25"/>
        <v>173</v>
      </c>
      <c r="I174" s="2">
        <f t="shared" si="26"/>
        <v>3.2702372855814401</v>
      </c>
      <c r="J174" s="3">
        <f t="shared" si="27"/>
        <v>-366.12851785138093</v>
      </c>
      <c r="K174" s="3">
        <f t="shared" si="28"/>
        <v>33.391635678225079</v>
      </c>
      <c r="L174" t="str">
        <f t="shared" si="29"/>
        <v/>
      </c>
      <c r="M174" t="str">
        <f>IF(ISBLANK(C174),"",COUNTIFS(C$2:C174,C174))</f>
        <v/>
      </c>
      <c r="N174" t="str">
        <f>IF(ISBLANK(C174),"",IF(B174=2,20,15)-COUNTIFS(C$2:C174,C174))</f>
        <v/>
      </c>
    </row>
    <row r="175" spans="1:14" x14ac:dyDescent="0.35">
      <c r="A175">
        <f t="shared" si="25"/>
        <v>174</v>
      </c>
      <c r="I175" s="2">
        <f t="shared" si="26"/>
        <v>3.9914632418531206</v>
      </c>
      <c r="J175" s="3">
        <f t="shared" si="27"/>
        <v>-341.5507168919786</v>
      </c>
      <c r="K175" s="3">
        <f t="shared" si="28"/>
        <v>38.042192096547517</v>
      </c>
      <c r="L175" t="str">
        <f t="shared" si="29"/>
        <v/>
      </c>
      <c r="M175" t="str">
        <f>IF(ISBLANK(C175),"",COUNTIFS(C$2:C175,C175))</f>
        <v/>
      </c>
      <c r="N175" t="str">
        <f>IF(ISBLANK(C175),"",IF(B175=2,20,15)-COUNTIFS(C$2:C175,C175))</f>
        <v/>
      </c>
    </row>
    <row r="176" spans="1:14" x14ac:dyDescent="0.35">
      <c r="A176">
        <f t="shared" si="25"/>
        <v>175</v>
      </c>
      <c r="I176" s="2">
        <f t="shared" si="26"/>
        <v>2.6342282290421486</v>
      </c>
      <c r="J176" s="3">
        <f t="shared" si="27"/>
        <v>-368.93444015964252</v>
      </c>
      <c r="K176" s="3">
        <f t="shared" si="28"/>
        <v>34.032494477025566</v>
      </c>
      <c r="L176" t="str">
        <f t="shared" si="29"/>
        <v/>
      </c>
      <c r="M176" t="str">
        <f>IF(ISBLANK(C176),"",COUNTIFS(C$2:C176,C176))</f>
        <v/>
      </c>
      <c r="N176" t="str">
        <f>IF(ISBLANK(C176),"",IF(B176=2,20,15)-COUNTIFS(C$2:C176,C176))</f>
        <v/>
      </c>
    </row>
    <row r="177" spans="1:14" x14ac:dyDescent="0.35">
      <c r="A177">
        <f t="shared" si="25"/>
        <v>176</v>
      </c>
      <c r="I177" s="2">
        <f t="shared" si="26"/>
        <v>3.3554541853138287</v>
      </c>
      <c r="J177" s="3">
        <f t="shared" si="27"/>
        <v>-344.35663920024012</v>
      </c>
      <c r="K177" s="3">
        <f t="shared" si="28"/>
        <v>30.022796857503614</v>
      </c>
      <c r="L177" t="str">
        <f t="shared" si="29"/>
        <v/>
      </c>
      <c r="M177" t="str">
        <f>IF(ISBLANK(C177),"",COUNTIFS(C$2:C177,C177))</f>
        <v/>
      </c>
      <c r="N177" t="str">
        <f>IF(ISBLANK(C177),"",IF(B177=2,20,15)-COUNTIFS(C$2:C177,C177))</f>
        <v/>
      </c>
    </row>
    <row r="178" spans="1:14" x14ac:dyDescent="0.35">
      <c r="A178">
        <f t="shared" si="25"/>
        <v>177</v>
      </c>
      <c r="I178" s="2">
        <f t="shared" si="26"/>
        <v>4.0766801415855092</v>
      </c>
      <c r="J178" s="3">
        <f t="shared" si="27"/>
        <v>-371.74036246790411</v>
      </c>
      <c r="K178" s="3">
        <f t="shared" si="28"/>
        <v>34.673353275826045</v>
      </c>
      <c r="L178" t="str">
        <f t="shared" si="29"/>
        <v/>
      </c>
      <c r="M178" t="str">
        <f>IF(ISBLANK(C178),"",COUNTIFS(C$2:C178,C178))</f>
        <v/>
      </c>
      <c r="N178" t="str">
        <f>IF(ISBLANK(C178),"",IF(B178=2,20,15)-COUNTIFS(C$2:C178,C178))</f>
        <v/>
      </c>
    </row>
    <row r="179" spans="1:14" x14ac:dyDescent="0.35">
      <c r="A179">
        <f t="shared" si="25"/>
        <v>178</v>
      </c>
      <c r="I179" s="2">
        <f t="shared" si="26"/>
        <v>2.7194451287745371</v>
      </c>
      <c r="J179" s="3">
        <f t="shared" si="27"/>
        <v>-347.16256150850171</v>
      </c>
      <c r="K179" s="3">
        <f t="shared" si="28"/>
        <v>30.663655656304098</v>
      </c>
      <c r="L179" t="str">
        <f t="shared" si="29"/>
        <v/>
      </c>
      <c r="M179" t="str">
        <f>IF(ISBLANK(C179),"",COUNTIFS(C$2:C179,C179))</f>
        <v/>
      </c>
      <c r="N179" t="str">
        <f>IF(ISBLANK(C179),"",IF(B179=2,20,15)-COUNTIFS(C$2:C179,C179))</f>
        <v/>
      </c>
    </row>
    <row r="180" spans="1:14" x14ac:dyDescent="0.35">
      <c r="A180">
        <f t="shared" si="25"/>
        <v>179</v>
      </c>
      <c r="I180" s="2">
        <f t="shared" si="26"/>
        <v>3.4406710850462177</v>
      </c>
      <c r="J180" s="3">
        <f t="shared" si="27"/>
        <v>-374.54628477616569</v>
      </c>
      <c r="K180" s="3">
        <f t="shared" si="28"/>
        <v>35.314212074626532</v>
      </c>
      <c r="L180" t="str">
        <f t="shared" si="29"/>
        <v/>
      </c>
      <c r="M180" t="str">
        <f>IF(ISBLANK(C180),"",COUNTIFS(C$2:C180,C180))</f>
        <v/>
      </c>
      <c r="N180" t="str">
        <f>IF(ISBLANK(C180),"",IF(B180=2,20,15)-COUNTIFS(C$2:C180,C180))</f>
        <v/>
      </c>
    </row>
    <row r="181" spans="1:14" x14ac:dyDescent="0.35">
      <c r="A181">
        <f t="shared" si="25"/>
        <v>180</v>
      </c>
      <c r="I181" s="2">
        <f t="shared" si="26"/>
        <v>4.1618970413178982</v>
      </c>
      <c r="J181" s="3">
        <f t="shared" si="27"/>
        <v>-349.9684838167633</v>
      </c>
      <c r="K181" s="3">
        <f t="shared" si="28"/>
        <v>31.304514455104581</v>
      </c>
      <c r="L181" t="str">
        <f t="shared" si="29"/>
        <v/>
      </c>
      <c r="M181" t="str">
        <f>IF(ISBLANK(C181),"",COUNTIFS(C$2:C181,C181))</f>
        <v/>
      </c>
      <c r="N181" t="str">
        <f>IF(ISBLANK(C181),"",IF(B181=2,20,15)-COUNTIFS(C$2:C181,C181))</f>
        <v/>
      </c>
    </row>
    <row r="182" spans="1:14" x14ac:dyDescent="0.35">
      <c r="A182">
        <f t="shared" si="25"/>
        <v>181</v>
      </c>
      <c r="I182" s="2">
        <f t="shared" si="26"/>
        <v>2.8046620285069261</v>
      </c>
      <c r="J182" s="3">
        <f t="shared" si="27"/>
        <v>-377.35220708442728</v>
      </c>
      <c r="K182" s="3">
        <f t="shared" si="28"/>
        <v>35.955070873427019</v>
      </c>
      <c r="L182" t="str">
        <f t="shared" si="29"/>
        <v/>
      </c>
      <c r="M182" t="str">
        <f>IF(ISBLANK(C182),"",COUNTIFS(C$2:C182,C182))</f>
        <v/>
      </c>
      <c r="N182" t="str">
        <f>IF(ISBLANK(C182),"",IF(B182=2,20,15)-COUNTIFS(C$2:C182,C182))</f>
        <v/>
      </c>
    </row>
    <row r="183" spans="1:14" x14ac:dyDescent="0.35">
      <c r="A183">
        <f t="shared" si="25"/>
        <v>182</v>
      </c>
      <c r="I183" s="2">
        <f t="shared" si="26"/>
        <v>3.5258879847786062</v>
      </c>
      <c r="J183" s="3">
        <f t="shared" si="27"/>
        <v>-352.77440612502488</v>
      </c>
      <c r="K183" s="3">
        <f t="shared" si="28"/>
        <v>31.945373253905068</v>
      </c>
      <c r="L183" t="str">
        <f t="shared" si="29"/>
        <v/>
      </c>
      <c r="M183" t="str">
        <f>IF(ISBLANK(C183),"",COUNTIFS(C$2:C183,C183))</f>
        <v/>
      </c>
      <c r="N183" t="str">
        <f>IF(ISBLANK(C183),"",IF(B183=2,20,15)-COUNTIFS(C$2:C183,C183))</f>
        <v/>
      </c>
    </row>
    <row r="184" spans="1:14" x14ac:dyDescent="0.35">
      <c r="A184">
        <f t="shared" si="25"/>
        <v>183</v>
      </c>
      <c r="I184" s="2">
        <f t="shared" si="26"/>
        <v>4.2471139410502872</v>
      </c>
      <c r="J184" s="3">
        <f t="shared" si="27"/>
        <v>-380.15812939268886</v>
      </c>
      <c r="K184" s="3">
        <f t="shared" si="28"/>
        <v>36.595929672227498</v>
      </c>
      <c r="L184" t="str">
        <f t="shared" si="29"/>
        <v/>
      </c>
      <c r="M184" t="str">
        <f>IF(ISBLANK(C184),"",COUNTIFS(C$2:C184,C184))</f>
        <v/>
      </c>
      <c r="N184" t="str">
        <f>IF(ISBLANK(C184),"",IF(B184=2,20,15)-COUNTIFS(C$2:C184,C184))</f>
        <v/>
      </c>
    </row>
    <row r="185" spans="1:14" x14ac:dyDescent="0.35">
      <c r="A185">
        <f t="shared" si="25"/>
        <v>184</v>
      </c>
      <c r="I185" s="2">
        <f t="shared" si="26"/>
        <v>2.8898789282393147</v>
      </c>
      <c r="J185" s="3">
        <f t="shared" si="27"/>
        <v>-355.58032843328647</v>
      </c>
      <c r="K185" s="3">
        <f t="shared" si="28"/>
        <v>32.586232052705547</v>
      </c>
      <c r="L185" t="str">
        <f t="shared" si="29"/>
        <v/>
      </c>
      <c r="M185" t="str">
        <f>IF(ISBLANK(C185),"",COUNTIFS(C$2:C185,C185))</f>
        <v/>
      </c>
      <c r="N185" t="str">
        <f>IF(ISBLANK(C185),"",IF(B185=2,20,15)-COUNTIFS(C$2:C185,C185))</f>
        <v/>
      </c>
    </row>
    <row r="186" spans="1:14" x14ac:dyDescent="0.35">
      <c r="A186">
        <f t="shared" si="25"/>
        <v>185</v>
      </c>
      <c r="I186" s="2">
        <f t="shared" si="26"/>
        <v>3.6111048845109952</v>
      </c>
      <c r="J186" s="3">
        <f t="shared" si="27"/>
        <v>-331.00252747388413</v>
      </c>
      <c r="K186" s="3">
        <f t="shared" si="28"/>
        <v>37.236788471027985</v>
      </c>
      <c r="L186" t="str">
        <f t="shared" si="29"/>
        <v/>
      </c>
      <c r="M186" t="str">
        <f>IF(ISBLANK(C186),"",COUNTIFS(C$2:C186,C186))</f>
        <v/>
      </c>
      <c r="N186" t="str">
        <f>IF(ISBLANK(C186),"",IF(B186=2,20,15)-COUNTIFS(C$2:C186,C186))</f>
        <v/>
      </c>
    </row>
    <row r="187" spans="1:14" x14ac:dyDescent="0.35">
      <c r="A187">
        <f t="shared" si="25"/>
        <v>186</v>
      </c>
      <c r="I187" s="2">
        <f t="shared" si="26"/>
        <v>4.3323308407826753</v>
      </c>
      <c r="J187" s="3">
        <f t="shared" si="27"/>
        <v>-358.38625074154805</v>
      </c>
      <c r="K187" s="3">
        <f t="shared" si="28"/>
        <v>33.227090851506034</v>
      </c>
      <c r="L187" t="str">
        <f t="shared" si="29"/>
        <v/>
      </c>
      <c r="M187" t="str">
        <f>IF(ISBLANK(C187),"",COUNTIFS(C$2:C187,C187))</f>
        <v/>
      </c>
      <c r="N187" t="str">
        <f>IF(ISBLANK(C187),"",IF(B187=2,20,15)-COUNTIFS(C$2:C187,C187))</f>
        <v/>
      </c>
    </row>
    <row r="188" spans="1:14" x14ac:dyDescent="0.35">
      <c r="A188">
        <f t="shared" si="25"/>
        <v>187</v>
      </c>
      <c r="I188" s="2">
        <f t="shared" si="26"/>
        <v>2.9750958279717032</v>
      </c>
      <c r="J188" s="3">
        <f t="shared" si="27"/>
        <v>-333.80844978214566</v>
      </c>
      <c r="K188" s="3">
        <f t="shared" si="28"/>
        <v>37.877647269828472</v>
      </c>
      <c r="L188" t="str">
        <f t="shared" si="29"/>
        <v/>
      </c>
      <c r="M188" t="str">
        <f>IF(ISBLANK(C188),"",COUNTIFS(C$2:C188,C188))</f>
        <v/>
      </c>
      <c r="N188" t="str">
        <f>IF(ISBLANK(C188),"",IF(B188=2,20,15)-COUNTIFS(C$2:C188,C188))</f>
        <v/>
      </c>
    </row>
    <row r="189" spans="1:14" x14ac:dyDescent="0.35">
      <c r="A189">
        <f t="shared" si="25"/>
        <v>188</v>
      </c>
      <c r="I189" s="2">
        <f t="shared" si="26"/>
        <v>3.6963217842433838</v>
      </c>
      <c r="J189" s="3">
        <f t="shared" si="27"/>
        <v>-361.19217304980964</v>
      </c>
      <c r="K189" s="3">
        <f t="shared" si="28"/>
        <v>33.867949650306521</v>
      </c>
      <c r="L189" t="str">
        <f t="shared" si="29"/>
        <v/>
      </c>
      <c r="M189" t="str">
        <f>IF(ISBLANK(C189),"",COUNTIFS(C$2:C189,C189))</f>
        <v/>
      </c>
      <c r="N189" t="str">
        <f>IF(ISBLANK(C189),"",IF(B189=2,20,15)-COUNTIFS(C$2:C189,C189))</f>
        <v/>
      </c>
    </row>
    <row r="190" spans="1:14" x14ac:dyDescent="0.35">
      <c r="A190">
        <f t="shared" si="25"/>
        <v>189</v>
      </c>
      <c r="I190" s="2">
        <f t="shared" si="26"/>
        <v>4.4175477405150643</v>
      </c>
      <c r="J190" s="3">
        <f t="shared" si="27"/>
        <v>-336.61437209040724</v>
      </c>
      <c r="K190" s="3">
        <f t="shared" si="28"/>
        <v>29.85825203078457</v>
      </c>
      <c r="L190" t="str">
        <f t="shared" si="29"/>
        <v/>
      </c>
      <c r="M190" t="str">
        <f>IF(ISBLANK(C190),"",COUNTIFS(C$2:C190,C190))</f>
        <v/>
      </c>
      <c r="N190" t="str">
        <f>IF(ISBLANK(C190),"",IF(B190=2,20,15)-COUNTIFS(C$2:C190,C190))</f>
        <v/>
      </c>
    </row>
    <row r="191" spans="1:14" x14ac:dyDescent="0.35">
      <c r="A191">
        <f t="shared" si="25"/>
        <v>190</v>
      </c>
      <c r="I191" s="2">
        <f t="shared" si="26"/>
        <v>3.0603127277040922</v>
      </c>
      <c r="J191" s="3">
        <f t="shared" si="27"/>
        <v>-363.99809535807123</v>
      </c>
      <c r="K191" s="3">
        <f t="shared" si="28"/>
        <v>34.508808449107001</v>
      </c>
      <c r="L191" t="str">
        <f t="shared" si="29"/>
        <v/>
      </c>
      <c r="M191" t="str">
        <f>IF(ISBLANK(C191),"",COUNTIFS(C$2:C191,C191))</f>
        <v/>
      </c>
      <c r="N191" t="str">
        <f>IF(ISBLANK(C191),"",IF(B191=2,20,15)-COUNTIFS(C$2:C191,C191))</f>
        <v/>
      </c>
    </row>
    <row r="192" spans="1:14" x14ac:dyDescent="0.35">
      <c r="A192">
        <f t="shared" si="25"/>
        <v>191</v>
      </c>
      <c r="I192" s="2">
        <f t="shared" si="26"/>
        <v>3.7815386839757728</v>
      </c>
      <c r="J192" s="3">
        <f t="shared" si="27"/>
        <v>-339.42029439866883</v>
      </c>
      <c r="K192" s="3">
        <f t="shared" si="28"/>
        <v>30.499110829585053</v>
      </c>
      <c r="L192" t="str">
        <f t="shared" si="29"/>
        <v/>
      </c>
      <c r="M192" t="str">
        <f>IF(ISBLANK(C192),"",COUNTIFS(C$2:C192,C192))</f>
        <v/>
      </c>
      <c r="N192" t="str">
        <f>IF(ISBLANK(C192),"",IF(B192=2,20,15)-COUNTIFS(C$2:C192,C192))</f>
        <v/>
      </c>
    </row>
    <row r="193" spans="1:14" x14ac:dyDescent="0.35">
      <c r="A193">
        <f t="shared" si="25"/>
        <v>192</v>
      </c>
      <c r="I193" s="2">
        <f t="shared" si="26"/>
        <v>4.5027646402474533</v>
      </c>
      <c r="J193" s="3">
        <f t="shared" si="27"/>
        <v>-366.80401766633281</v>
      </c>
      <c r="K193" s="3">
        <f t="shared" si="28"/>
        <v>35.149667247907487</v>
      </c>
      <c r="L193" t="str">
        <f t="shared" si="29"/>
        <v/>
      </c>
      <c r="M193" t="str">
        <f>IF(ISBLANK(C193),"",COUNTIFS(C$2:C193,C193))</f>
        <v/>
      </c>
      <c r="N193" t="str">
        <f>IF(ISBLANK(C193),"",IF(B193=2,20,15)-COUNTIFS(C$2:C193,C193))</f>
        <v/>
      </c>
    </row>
    <row r="194" spans="1:14" x14ac:dyDescent="0.35">
      <c r="A194">
        <f t="shared" ref="A194:A201" si="30">ROW()-1</f>
        <v>193</v>
      </c>
      <c r="I194" s="2">
        <f t="shared" ref="I194:I225" si="31">IF(L194&lt;&gt;"","",8+0.1*(((D194)-12.5)/7.5)+3*(((E194)-20)/20)+2*(((F194)-2.25)/1.75)+(-0.2)*(((G194)-12.5)/12.5)+0.2*(((H194)-130)/30)+1.5*(((E194)-20)/20)*(((F194)-2.25)/1.75)+((MOD(ROW()*12347,1000)/1000-0.5)*2*0.6*SQRT(3)))</f>
        <v>3.1455296274364808</v>
      </c>
      <c r="J194" s="3">
        <f t="shared" ref="J194:J201" si="32">IF(L194&lt;&gt;"","",380+3*(((D194)-12.5)/7.5)+8*(((H194)-130)/30)+(-100)*((((E194)-20)/20)-(-0.5))^2+(-150)*((((F194)-2.25)/1.75)-(0.5))^2+(-80)*((((G194)-12.5)/12.5)-(0.5))^2+(-10)*(((E194)-20)/20)*(((F194)-2.25)/1.75)+((MOD(ROW()*23473,1000)/1000-0.5)*2*15*SQRT(3)))</f>
        <v>-342.22621670693042</v>
      </c>
      <c r="K194" s="3">
        <f t="shared" ref="K194:K225" si="33">IF(L194&lt;&gt;"","",55+0.5*(((D194)-12.5)/7.5)+12*(((E194)-20)/20)+5*(((F194)-2.25)/1.75)+(-3)*(((G194)-12.5)/12.5)+2*(((H194)-130)/30)+3*(((E194)-20)/20)*(((F194)-2.25)/1.75)+((MOD(ROW()*34537,1000)/1000-0.5)*2*2.5*SQRT(3)))</f>
        <v>31.139969628385536</v>
      </c>
      <c r="L194" t="str">
        <f t="shared" ref="L194:L201" si="34">IF(OR(ISBLANK(D194),ISBLANK(E194),ISBLANK(F194),ISBLANK(G194),ISBLANK(H194)),"",IF(D194&gt;20,"latex &gt; 20% — mixture unstable",IF(OR(D194&lt;5,E194&lt;0,E194&gt;40,F194&lt;0.5,F194&gt;4,G194&lt;0,G194&gt;25,H194&lt;100,H194&gt;160),"out of range","")))</f>
        <v/>
      </c>
      <c r="M194" t="str">
        <f>IF(ISBLANK(C194),"",COUNTIFS(C$2:C194,C194))</f>
        <v/>
      </c>
      <c r="N194" t="str">
        <f>IF(ISBLANK(C194),"",IF(B194=2,20,15)-COUNTIFS(C$2:C194,C194))</f>
        <v/>
      </c>
    </row>
    <row r="195" spans="1:14" x14ac:dyDescent="0.35">
      <c r="A195">
        <f t="shared" si="30"/>
        <v>194</v>
      </c>
      <c r="I195" s="2">
        <f t="shared" si="31"/>
        <v>3.8667555837081613</v>
      </c>
      <c r="J195" s="3">
        <f t="shared" si="32"/>
        <v>-369.6099399745944</v>
      </c>
      <c r="K195" s="3">
        <f t="shared" si="33"/>
        <v>35.790526046707974</v>
      </c>
      <c r="L195" t="str">
        <f t="shared" si="34"/>
        <v/>
      </c>
      <c r="M195" t="str">
        <f>IF(ISBLANK(C195),"",COUNTIFS(C$2:C195,C195))</f>
        <v/>
      </c>
      <c r="N195" t="str">
        <f>IF(ISBLANK(C195),"",IF(B195=2,20,15)-COUNTIFS(C$2:C195,C195))</f>
        <v/>
      </c>
    </row>
    <row r="196" spans="1:14" x14ac:dyDescent="0.35">
      <c r="A196">
        <f t="shared" si="30"/>
        <v>195</v>
      </c>
      <c r="I196" s="2">
        <f t="shared" si="31"/>
        <v>2.5095205708971893</v>
      </c>
      <c r="J196" s="3">
        <f t="shared" si="32"/>
        <v>-345.032139015192</v>
      </c>
      <c r="K196" s="3">
        <f t="shared" si="33"/>
        <v>31.780828427186023</v>
      </c>
      <c r="L196" t="str">
        <f t="shared" si="34"/>
        <v/>
      </c>
      <c r="M196" t="str">
        <f>IF(ISBLANK(C196),"",COUNTIFS(C$2:C196,C196))</f>
        <v/>
      </c>
      <c r="N196" t="str">
        <f>IF(ISBLANK(C196),"",IF(B196=2,20,15)-COUNTIFS(C$2:C196,C196))</f>
        <v/>
      </c>
    </row>
    <row r="197" spans="1:14" x14ac:dyDescent="0.35">
      <c r="A197">
        <f t="shared" si="30"/>
        <v>196</v>
      </c>
      <c r="I197" s="2">
        <f t="shared" si="31"/>
        <v>3.2307465271688698</v>
      </c>
      <c r="J197" s="3">
        <f t="shared" si="32"/>
        <v>-372.41586228285598</v>
      </c>
      <c r="K197" s="3">
        <f t="shared" si="33"/>
        <v>36.431384845508461</v>
      </c>
      <c r="L197" t="str">
        <f t="shared" si="34"/>
        <v/>
      </c>
      <c r="M197" t="str">
        <f>IF(ISBLANK(C197),"",COUNTIFS(C$2:C197,C197))</f>
        <v/>
      </c>
      <c r="N197" t="str">
        <f>IF(ISBLANK(C197),"",IF(B197=2,20,15)-COUNTIFS(C$2:C197,C197))</f>
        <v/>
      </c>
    </row>
    <row r="198" spans="1:14" x14ac:dyDescent="0.35">
      <c r="A198">
        <f t="shared" si="30"/>
        <v>197</v>
      </c>
      <c r="I198" s="2">
        <f t="shared" si="31"/>
        <v>3.9519724834405503</v>
      </c>
      <c r="J198" s="3">
        <f t="shared" si="32"/>
        <v>-347.83806132345359</v>
      </c>
      <c r="K198" s="3">
        <f t="shared" si="33"/>
        <v>32.42168722598651</v>
      </c>
      <c r="L198" t="str">
        <f t="shared" si="34"/>
        <v/>
      </c>
      <c r="M198" t="str">
        <f>IF(ISBLANK(C198),"",COUNTIFS(C$2:C198,C198))</f>
        <v/>
      </c>
      <c r="N198" t="str">
        <f>IF(ISBLANK(C198),"",IF(B198=2,20,15)-COUNTIFS(C$2:C198,C198))</f>
        <v/>
      </c>
    </row>
    <row r="199" spans="1:14" x14ac:dyDescent="0.35">
      <c r="A199">
        <f t="shared" si="30"/>
        <v>198</v>
      </c>
      <c r="I199" s="2">
        <f t="shared" si="31"/>
        <v>2.5947374706295783</v>
      </c>
      <c r="J199" s="3">
        <f t="shared" si="32"/>
        <v>-375.22178459111751</v>
      </c>
      <c r="K199" s="3">
        <f t="shared" si="33"/>
        <v>37.072243644308941</v>
      </c>
      <c r="L199" t="str">
        <f t="shared" si="34"/>
        <v/>
      </c>
      <c r="M199" t="str">
        <f>IF(ISBLANK(C199),"",COUNTIFS(C$2:C199,C199))</f>
        <v/>
      </c>
      <c r="N199" t="str">
        <f>IF(ISBLANK(C199),"",IF(B199=2,20,15)-COUNTIFS(C$2:C199,C199))</f>
        <v/>
      </c>
    </row>
    <row r="200" spans="1:14" x14ac:dyDescent="0.35">
      <c r="A200">
        <f t="shared" si="30"/>
        <v>199</v>
      </c>
      <c r="I200" s="2">
        <f t="shared" si="31"/>
        <v>3.3159634269012583</v>
      </c>
      <c r="J200" s="3">
        <f t="shared" si="32"/>
        <v>-350.64398363171517</v>
      </c>
      <c r="K200" s="3">
        <f t="shared" si="33"/>
        <v>33.06254602478699</v>
      </c>
      <c r="L200" t="str">
        <f t="shared" si="34"/>
        <v/>
      </c>
      <c r="M200" t="str">
        <f>IF(ISBLANK(C200),"",COUNTIFS(C$2:C200,C200))</f>
        <v/>
      </c>
      <c r="N200" t="str">
        <f>IF(ISBLANK(C200),"",IF(B200=2,20,15)-COUNTIFS(C$2:C200,C200))</f>
        <v/>
      </c>
    </row>
    <row r="201" spans="1:14" x14ac:dyDescent="0.35">
      <c r="A201">
        <f t="shared" si="30"/>
        <v>200</v>
      </c>
      <c r="I201" s="2">
        <f t="shared" si="31"/>
        <v>4.0371893831729393</v>
      </c>
      <c r="J201" s="3">
        <f t="shared" si="32"/>
        <v>-378.0277068993791</v>
      </c>
      <c r="K201" s="3">
        <f t="shared" si="33"/>
        <v>37.713102443109427</v>
      </c>
      <c r="L201" t="str">
        <f t="shared" si="34"/>
        <v/>
      </c>
      <c r="M201" t="str">
        <f>IF(ISBLANK(C201),"",COUNTIFS(C$2:C201,C201))</f>
        <v/>
      </c>
      <c r="N201" t="str">
        <f>IF(ISBLANK(C201),"",IF(B201=2,20,15)-COUNTIFS(C$2:C201,C201))</f>
        <v/>
      </c>
    </row>
  </sheetData>
  <pageMargins left="0.75" right="0.75" top="1" bottom="1" header="0.5" footer="0.5"/>
  <headerFooter>
    <oddFooter>&amp;C_x000D_&amp;1#&amp;"Aptos"&amp;10&amp;K000000 General Business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tabSelected="1" workbookViewId="0"/>
  </sheetViews>
  <sheetFormatPr defaultRowHeight="14.5" x14ac:dyDescent="0.35"/>
  <cols>
    <col min="1" max="1" width="100" customWidth="1"/>
  </cols>
  <sheetData>
    <row r="1" spans="1:1" ht="18.5" x14ac:dyDescent="0.45">
      <c r="A1" s="4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  <row r="9" spans="1:1" x14ac:dyDescent="0.35">
      <c r="A9" t="s">
        <v>21</v>
      </c>
    </row>
    <row r="11" spans="1:1" x14ac:dyDescent="0.35">
      <c r="A11" t="s">
        <v>22</v>
      </c>
    </row>
    <row r="12" spans="1:1" x14ac:dyDescent="0.35">
      <c r="A12" t="s">
        <v>23</v>
      </c>
    </row>
    <row r="13" spans="1:1" x14ac:dyDescent="0.35">
      <c r="A13" t="s">
        <v>24</v>
      </c>
    </row>
    <row r="15" spans="1:1" x14ac:dyDescent="0.35">
      <c r="A15" t="s">
        <v>25</v>
      </c>
    </row>
    <row r="17" spans="1:1" x14ac:dyDescent="0.35">
      <c r="A17" t="s">
        <v>26</v>
      </c>
    </row>
    <row r="18" spans="1:1" x14ac:dyDescent="0.35">
      <c r="A18" t="s">
        <v>27</v>
      </c>
    </row>
    <row r="19" spans="1:1" x14ac:dyDescent="0.35">
      <c r="A19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5" spans="1:1" x14ac:dyDescent="0.35">
      <c r="A25" t="s">
        <v>32</v>
      </c>
    </row>
    <row r="26" spans="1:1" x14ac:dyDescent="0.35">
      <c r="A26" t="s">
        <v>33</v>
      </c>
    </row>
    <row r="28" spans="1:1" x14ac:dyDescent="0.35">
      <c r="A28" t="s">
        <v>34</v>
      </c>
    </row>
    <row r="29" spans="1:1" x14ac:dyDescent="0.35">
      <c r="A29" t="s">
        <v>35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38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storefront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Alix (A)</cp:lastModifiedBy>
  <dcterms:created xsi:type="dcterms:W3CDTF">2026-08-15T16:09:59Z</dcterms:created>
  <dcterms:modified xsi:type="dcterms:W3CDTF">2026-08-16T13:39:23Z</dcterms:modified>
</cp:coreProperties>
</file>